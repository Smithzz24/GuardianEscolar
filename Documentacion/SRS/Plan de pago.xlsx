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LA RAMIREZ\Downloads\"/>
    </mc:Choice>
  </mc:AlternateContent>
  <xr:revisionPtr revIDLastSave="0" documentId="13_ncr:1_{E36F7E30-25F8-47A9-9E34-2F909820C54F}" xr6:coauthVersionLast="47" xr6:coauthVersionMax="47" xr10:uidLastSave="{00000000-0000-0000-0000-000000000000}"/>
  <bookViews>
    <workbookView xWindow="-108" yWindow="-108" windowWidth="23256" windowHeight="12456" xr2:uid="{D8912AE4-5FBD-4DA6-8E4C-EA30603E54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F10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<sst xmlns="http://schemas.openxmlformats.org/spreadsheetml/2006/main" count="38" uniqueCount="37">
  <si>
    <t>Fase General</t>
  </si>
  <si>
    <t>Hito de Pago</t>
  </si>
  <si>
    <t>Descripción</t>
  </si>
  <si>
    <t>%</t>
  </si>
  <si>
    <t>Condición de Pago</t>
  </si>
  <si>
    <t># Hito</t>
  </si>
  <si>
    <t>Proyecto aprobado</t>
  </si>
  <si>
    <t>Total</t>
  </si>
  <si>
    <t>Monto $ (COP)</t>
  </si>
  <si>
    <t>Especificación de requisitos del software.</t>
  </si>
  <si>
    <t>Anticipo</t>
  </si>
  <si>
    <t>Formalización inicial y levantamiento de requisitos</t>
  </si>
  <si>
    <t>Análisis de la especificación de requisitos del software.</t>
  </si>
  <si>
    <t>Entrega de documentación de análisis del software..</t>
  </si>
  <si>
    <t>Análisis y validación de especificaciones</t>
  </si>
  <si>
    <t>Elaboración de la propuesta técnica del software.</t>
  </si>
  <si>
    <t>Entrega de documentación de propuesta técnica del software.</t>
  </si>
  <si>
    <t>Elaboración y presentación de propuesta técnica.</t>
  </si>
  <si>
    <t>Modelado de los artefactos del software.</t>
  </si>
  <si>
    <t>Entrega de artefactos de código.</t>
  </si>
  <si>
    <t>Desarrollo y validación de modelos y arquitectura.</t>
  </si>
  <si>
    <t>5.1</t>
  </si>
  <si>
    <t>Construcción del software.</t>
  </si>
  <si>
    <t>5.2</t>
  </si>
  <si>
    <t>Entrega de documentación de diseño del software ( Interfaces gráficas, modelo arquitectónico, patrones de diseño, modelo de datos), junto con documentación de pruebas.</t>
  </si>
  <si>
    <t>Implantación del software.</t>
  </si>
  <si>
    <t>Entrega del procedimiento de implementación del software. junto con manuales técnicos, instalación y usuario final.</t>
  </si>
  <si>
    <t>Instalación y configuración en entorno real</t>
  </si>
  <si>
    <t>Firma contrato.</t>
  </si>
  <si>
    <t>Aprobación del análisis documentado.</t>
  </si>
  <si>
    <t>Aprobación de la propuesta técnica.</t>
  </si>
  <si>
    <t>Revisión y aceptación de modelos.</t>
  </si>
  <si>
    <t>Pruebas exitosas de funcionalidades principales</t>
  </si>
  <si>
    <t>Implementación exitosa en producción</t>
  </si>
  <si>
    <t>Entrega de un 50% de una versión funcional</t>
  </si>
  <si>
    <t>Entrega de una versión funcional  del software cumpliendo con los requisitos principales del cliente.</t>
  </si>
  <si>
    <t>Entrega completa del 100% del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</si>
</sst>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4">
    <font>
      <sz val="11"/>
      <color theme="1"/>
      <name val="Aptos Narrow"/>
      <family val="2"/>
      <scheme val="minor"/>
    </font>
    <font>
      <sz val="9"/>
      <color rgb="FF0F1115"/>
      <name val="Segoe UI"/>
      <family val="2"/>
    </font>
    <font>
      <sz val="10"/>
      <color rgb="FF000000"/>
      <name val="Calibri (cuerpo)"/>
    </font>
    <font>
      <sz val="10"/>
      <color rgb="FF0F1115"/>
      <name val="Calibri (cuerpo)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2"/>
    </xf>
    <xf numFmtId="3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7D55-7758-40B4-9BC6-E1F1065F829C}">
  <dimension ref="B2:H10"/>
  <sheetViews>
    <sheetView showGridLines="0" tabSelected="1" workbookViewId="0"/>
  </sheetViews>
  <sheetFormatPr baseColWidth="10" defaultRowHeight="14.4"/>
  <cols>
    <col min="1" max="1" width="3.77734375" customWidth="1"/>
    <col min="2" max="2" width="5.6640625" customWidth="1"/>
    <col min="3" max="3" width="19.5546875" customWidth="1"/>
    <col min="4" max="4" width="34.6640625" customWidth="1"/>
    <col min="5" max="5" width="48.33203125" customWidth="1"/>
    <col min="6" max="6" width="5.33203125" customWidth="1"/>
    <col min="7" max="7" width="17.88671875" customWidth="1"/>
    <col min="8" max="8" width="28.33203125" customWidth="1"/>
  </cols>
  <sheetData>
    <row r="2" spans="2:8">
      <c r="B2" s="4" t="s">
        <v>5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8</v>
      </c>
      <c r="H2" s="4" t="s">
        <v>4</v>
      </c>
    </row>
    <row r="3" spans="2:8" ht="39.6">
      <c r="B3" s="4">
        <v>1</v>
      </c>
      <c r="C3" s="5" t="s">
        <v>9</v>
      </c>
      <c r="D3" s="6" t="s">
        <v>10</v>
      </c>
      <c r="E3" s="5" t="s">
        <v>11</v>
      </c>
      <c r="F3" s="4">
        <v>10</v>
      </c>
      <c r="G3" s="7">
        <f>$G$10*(F3/100)</f>
        <v>4546221.6000000006</v>
      </c>
      <c r="H3" s="4" t="s">
        <v>28</v>
      </c>
    </row>
    <row r="4" spans="2:8" ht="52.8">
      <c r="B4" s="4">
        <v>2</v>
      </c>
      <c r="C4" s="5" t="s">
        <v>12</v>
      </c>
      <c r="D4" s="4" t="s">
        <v>13</v>
      </c>
      <c r="E4" s="5" t="s">
        <v>14</v>
      </c>
      <c r="F4" s="4">
        <v>15</v>
      </c>
      <c r="G4" s="7">
        <f>$G$10*(F4/100)</f>
        <v>6819332.3999999994</v>
      </c>
      <c r="H4" s="5" t="s">
        <v>29</v>
      </c>
    </row>
    <row r="5" spans="2:8" ht="39.6">
      <c r="B5" s="4">
        <v>3</v>
      </c>
      <c r="C5" s="4" t="s">
        <v>15</v>
      </c>
      <c r="D5" s="4" t="s">
        <v>16</v>
      </c>
      <c r="E5" s="5" t="s">
        <v>17</v>
      </c>
      <c r="F5" s="4">
        <v>15</v>
      </c>
      <c r="G5" s="7">
        <f t="shared" ref="G3:G9" si="0">$G$10*(F5/100)</f>
        <v>6819332.3999999994</v>
      </c>
      <c r="H5" s="5" t="s">
        <v>30</v>
      </c>
    </row>
    <row r="6" spans="2:8" ht="39.6">
      <c r="B6" s="4">
        <v>4</v>
      </c>
      <c r="C6" s="4" t="s">
        <v>18</v>
      </c>
      <c r="D6" s="4" t="s">
        <v>19</v>
      </c>
      <c r="E6" s="5" t="s">
        <v>20</v>
      </c>
      <c r="F6" s="4">
        <v>20</v>
      </c>
      <c r="G6" s="7">
        <f t="shared" si="0"/>
        <v>9092443.2000000011</v>
      </c>
      <c r="H6" s="5" t="s">
        <v>31</v>
      </c>
    </row>
    <row r="7" spans="2:8" ht="26.4">
      <c r="B7" s="8" t="s">
        <v>21</v>
      </c>
      <c r="C7" s="4" t="s">
        <v>22</v>
      </c>
      <c r="D7" s="4" t="s">
        <v>34</v>
      </c>
      <c r="E7" s="5" t="s">
        <v>35</v>
      </c>
      <c r="F7" s="4">
        <v>15</v>
      </c>
      <c r="G7" s="7">
        <f t="shared" si="0"/>
        <v>6819332.3999999994</v>
      </c>
      <c r="H7" s="4" t="s">
        <v>6</v>
      </c>
    </row>
    <row r="8" spans="2:8" ht="66">
      <c r="B8" s="8" t="s">
        <v>23</v>
      </c>
      <c r="C8" s="4" t="s">
        <v>22</v>
      </c>
      <c r="D8" s="4" t="s">
        <v>24</v>
      </c>
      <c r="E8" s="4" t="s">
        <v>36</v>
      </c>
      <c r="F8" s="4">
        <v>15</v>
      </c>
      <c r="G8" s="7">
        <f t="shared" si="0"/>
        <v>6819332.3999999994</v>
      </c>
      <c r="H8" s="5" t="s">
        <v>32</v>
      </c>
    </row>
    <row r="9" spans="2:8" ht="52.8">
      <c r="B9" s="4">
        <v>6</v>
      </c>
      <c r="C9" s="4" t="s">
        <v>25</v>
      </c>
      <c r="D9" s="4" t="s">
        <v>26</v>
      </c>
      <c r="E9" s="5" t="s">
        <v>27</v>
      </c>
      <c r="F9" s="4">
        <v>10</v>
      </c>
      <c r="G9" s="7">
        <f t="shared" si="0"/>
        <v>4546221.6000000006</v>
      </c>
      <c r="H9" s="5" t="s">
        <v>33</v>
      </c>
    </row>
    <row r="10" spans="2:8">
      <c r="E10" s="1" t="s">
        <v>7</v>
      </c>
      <c r="F10" s="2">
        <f>SUM(F3:F9)</f>
        <v>100</v>
      </c>
      <c r="G10" s="3">
        <v>45462216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Chala Ramirez</dc:creator>
  <cp:lastModifiedBy>Juan Pablo Chala Ramirez</cp:lastModifiedBy>
  <dcterms:created xsi:type="dcterms:W3CDTF">2025-09-10T13:51:27Z</dcterms:created>
  <dcterms:modified xsi:type="dcterms:W3CDTF">2025-09-30T01:16:38Z</dcterms:modified>
</cp:coreProperties>
</file>