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os Hardware y Software" sheetId="1" r:id="rId4"/>
    <sheet state="visible" name="Recursos Humanos" sheetId="2" r:id="rId5"/>
    <sheet state="visible" name="Hosting" sheetId="3" r:id="rId6"/>
  </sheets>
  <definedNames/>
  <calcPr/>
  <extLst>
    <ext uri="GoogleSheetsCustomDataVersion2">
      <go:sheetsCustomData xmlns:go="http://customooxmlschemas.google.com/" r:id="rId7" roundtripDataChecksum="ATQVDyvCA9lrXebiWecLgf0WQdHp3+zY1Af02C4tL6c="/>
    </ext>
  </extLst>
</workbook>
</file>

<file path=xl/sharedStrings.xml><?xml version="1.0" encoding="utf-8"?>
<sst xmlns="http://schemas.openxmlformats.org/spreadsheetml/2006/main" count="250" uniqueCount="142">
  <si>
    <t>OPCION 1</t>
  </si>
  <si>
    <t>Equipo de desarrollo</t>
  </si>
  <si>
    <t>Cliente</t>
  </si>
  <si>
    <t>Hardware</t>
  </si>
  <si>
    <t>Costo</t>
  </si>
  <si>
    <t>Link</t>
  </si>
  <si>
    <t>Portatiles</t>
  </si>
  <si>
    <t>Se necesitan 3 portatiles para cada miembro del equipo de trabajo.</t>
  </si>
  <si>
    <t>Computadoras</t>
  </si>
  <si>
    <t>Procesador</t>
  </si>
  <si>
    <t>Deben contar con al menos un procesador intel 5 de decima generacion.</t>
  </si>
  <si>
    <t>https://www.mercadolibre.com.co/procesador-intel-core-i5-10400-bx8070110400-de-6-nucleos-y-43ghz-de-frecuencia-con-grafica-integrada/p/MCO15909810?matt_tool=19390127&amp;utm_source=google_shopping&amp;utm_medium=organic&amp;pdp_filters=item_id%3AMCO2918450830&amp;from=gshop</t>
  </si>
  <si>
    <t>Intel i5 10 generacion. Garantiza la capacidad de procesamiento necesaria para ejecutar la aplicación.</t>
  </si>
  <si>
    <t>Memoria RAM</t>
  </si>
  <si>
    <t>Deben contar con minimo 8GB de ram para tener buena productividad.</t>
  </si>
  <si>
    <t>https://www.mercadolibre.com.co/memoria-ram-portatil-kingston-fury-impact-ddr4-8gb-3200mts-negro/p/MCO18571345#polycard_client=search-nordic&amp;search_layout=stack&amp;position=3&amp;type=product&amp;tracking_id=da3532a6-2981-4430-94cc-b1ce33dc7893&amp;wid=MCO2656031098&amp;sid=search</t>
  </si>
  <si>
    <t>Minimo 8 GB. Asegura un rendimiento fluido al manejar múltiples tareas y procesos en segundo plano.</t>
  </si>
  <si>
    <t>Almacenamiento</t>
  </si>
  <si>
    <t>Dben contar con 500 GB de almacenamiento para descargar dependencias, componentes y herramientas adicionales para el proyecto.</t>
  </si>
  <si>
    <t>https://www.mercadolibre.com.co/disco-duro-interno-western-digital-wd5000lpcx-500gb-azul/p/MCO6326224#polycard_client=search-nordic&amp;search_layout=stack&amp;position=23&amp;type=product&amp;tracking_id=97df67b7-6c5e-4672-a43c-f1da2dfabdfa&amp;wid=MCO2923060394&amp;sid=search</t>
  </si>
  <si>
    <t>Mas de 500 GB de almacenamiento en el disco duro. Proporciona velocidad en la carga del sistema y de la aplicación, mejorando la experiencia de usuario.</t>
  </si>
  <si>
    <t>Tarjeta Grafica</t>
  </si>
  <si>
    <t>Deben contar con minimo una tarjeta grafica AMD AsRock Challenger Radeon Rx para procesar y generar las imágenes que vemos en la pantalla.</t>
  </si>
  <si>
    <t>https://www.mercadolibre.com.co/tarjeta-de-video-amd-asrock-challenger-radeon-rx-6600-series-rx-6600-cld-8g-8gb/p/MCO19811124#polycard_client=search-nordic&amp;search_layout=stack&amp;position=2&amp;type=product&amp;tracking_id=4efe3e4d-1b6e-4744-91a5-2d3dac737331&amp;wid=MCO1537147485&amp;sid=search</t>
  </si>
  <si>
    <t>Tarjeta AMD que soporte para renderizado de interfaces gráficas y posibles funcionalidades multimedia.</t>
  </si>
  <si>
    <t>Dispositivos moviles fisicos</t>
  </si>
  <si>
    <t>Deben tener 1 celular Motorola G04S  y Xiaomi Redmi Note 10, para realizar las pruebas del funcionamiento del proyecto.</t>
  </si>
  <si>
    <t>https://www.falabella.com.co/falabella-co/product/140757299/Celular-Xiaomi-Redmi-Note-14-Pro-Midnight-Black-8G-RAM-256G/140757300</t>
  </si>
  <si>
    <t>El cliente puede elegir el que prefiera (Android, iOS), ya que la aplicación está desarrollada para ser multiplataforma.</t>
  </si>
  <si>
    <t>Conectividad de Red</t>
  </si>
  <si>
    <t>Debe contar con internet de 900 MB de capacidad.</t>
  </si>
  <si>
    <t>https://claro-promociones.co/s/td/internet.html</t>
  </si>
  <si>
    <t>Internet estable y de alta calidad es esencial para el uso continuo de la aplicación, sincronización de datos o actualizaciones en tiempo real.</t>
  </si>
  <si>
    <t>Dispositivo GPS</t>
  </si>
  <si>
    <t>Para las pruebas del proyecto se necesitara de un dispositivo que permita detectar su  ubicacion en tiempo real y recorrido.</t>
  </si>
  <si>
    <t>https://www.mercadolibre.com.co/rastreador-gps-tkstar-tk905-4g/up/MCOU3173835086#polycard_client=search-nordic&amp;search_layout=stack&amp;position=1&amp;type=product&amp;tracking_id=bf2af576-c1b3-4920-8095-0fc7fb0d12de&amp;wid=MCO1581322799&amp;sid=search</t>
  </si>
  <si>
    <t>TOTAL</t>
  </si>
  <si>
    <t>Software</t>
  </si>
  <si>
    <t>Sistema Operativo</t>
  </si>
  <si>
    <t>Trabajaran con 3 licencias del sistema operativo Windows 11 PRO, teniendo en cuenta que el proyecto va orientado a cualquier sistema operativo.</t>
  </si>
  <si>
    <t>https://www.falabella.com.co/falabella-co/product/129798120/Licencia-Fisica-Windows-11-Pro-64bit-Espanol-Latino-Dvd/129798121</t>
  </si>
  <si>
    <t>El cliente puede elegir el que prefiera (Windows, macOS), ya que la aplicación está desarrollada para ser multiplataforma.</t>
  </si>
  <si>
    <t>Editores de Codigo</t>
  </si>
  <si>
    <t>Trabajaran en el editor de codigo Visual Studio Code para trabajar en Windows y Mac, Android Studio para desarrollar el proyecto para los sistemas operativos Android.</t>
  </si>
  <si>
    <t>https://code.visualstudio.com/</t>
  </si>
  <si>
    <t>Navegador Web</t>
  </si>
  <si>
    <t>El cliente podra usar el proyecto en cualquier navegador web, ya que tambien contara con su version web. Y tambien los navegadores soportan estándares actuales (HTML5, CSS, JavaScript) para que garantiza todas las funcionalidades.</t>
  </si>
  <si>
    <t>Servidores de Bases de datos</t>
  </si>
  <si>
    <t>Utilizaran motores de bases de datos MySQL y SQLServer para constriur y estrucutrar la base de datos del proyecto.</t>
  </si>
  <si>
    <t>https://dev.mysql.com/downloads/workbench/</t>
  </si>
  <si>
    <t>Acceso a la ubicacion</t>
  </si>
  <si>
    <t>Necesario ya que la aplicación incluye funcionalidades basadas en geolocalización (ej: mapas, servicios cercanos, etc.).</t>
  </si>
  <si>
    <t>Herramientas de control de verisones</t>
  </si>
  <si>
    <t>Utilizaran git para el control de versiones del proyecto.</t>
  </si>
  <si>
    <t>https://git-scm.com/downloads/win</t>
  </si>
  <si>
    <t>Software de comunicación</t>
  </si>
  <si>
    <t>Utilizaran el software Discord para gestionar reuniones, comunicaciones y herramientas para el proyecto.</t>
  </si>
  <si>
    <t>https://discord.com/download</t>
  </si>
  <si>
    <t>Herramientas ofimaticas</t>
  </si>
  <si>
    <t>Se utilizara Microsoft 365, para redactar documentos, gestionar datos, crear presentaciones, entre otras.</t>
  </si>
  <si>
    <t>https://www.mercadolibre.com.co/microsoft-office-365-personal-con-licencia-de-1-ano-digital/p/MCO52724174?matt_tool=19390127&amp;utm_source=google_shopping&amp;utm_medium=organic&amp;pdp_filters=item_id%3AMCO3029228532&amp;from=gshop</t>
  </si>
  <si>
    <t>OPCION 2</t>
  </si>
  <si>
    <t>Computadores</t>
  </si>
  <si>
    <t>Se necesitan 3 computadores para cada miembro del equipo.</t>
  </si>
  <si>
    <t>Deben contar con al menos un procesador intel 7 de onceava generacion.</t>
  </si>
  <si>
    <t>https://www.ebay.com/itm/355561619418?chn=ps&amp;mkevt=1&amp;mkcid=28&amp;google_free_listing_action=view_item</t>
  </si>
  <si>
    <t>AMD Ryzen 7 serie 5000. Ofrece múltiples núcleos e hilos que permiten alto rendimiento en entornos multitarea y aplicaciones exigentes.</t>
  </si>
  <si>
    <t>https://www.mercadolibre.com.co/memoria-ram-kingston-fury-impact-ddr4-16gb-3200-mhz-modelo-kf432s20ib16/p/MCO18931517#polycard_client=search-nordic&amp;search_layout=stack&amp;position=3&amp;type=product&amp;tracking_id=3534015c-b12f-41d9-a4d0-2f33313fcf71&amp;wid=MCO3022893826&amp;sid=search</t>
  </si>
  <si>
    <t>16 GB DDR4 para garantizar velocidad en ejecución de procesos simultáneos y optimizar el rendimiento de la aplicación.</t>
  </si>
  <si>
    <t>Deben contar con un disco SSD de 512 para descargar dependencias, componentes y herramientas adicionales para el proyecto.</t>
  </si>
  <si>
    <t>https://www.mercadolibre.com.co/disco-solido-interno-ssd-patriot-512gb-p210-sata-iii-25/p/MCO19756138#polycard_client=search-nordic&amp;search_layout=stack&amp;position=3&amp;type=product&amp;tracking_id=120ec24c-b548-4807-a96d-f6abe98d8fbb&amp;wid=MCO1311550729&amp;sid=search</t>
  </si>
  <si>
    <t>Unidad SSD de 1 TB, lo que asegura rapidez en la lectura/escritura de datos y mejora los tiempos de carga.</t>
  </si>
  <si>
    <t>Deben contar con minimo una tarjeta grafica tarjeta grafica Dual Nvidia para procesar y generar las imágenes que vemos en la pantalla.</t>
  </si>
  <si>
    <t>https://www.mercadolibre.com.co/tarjeta-grafica-dual-nvidia-geforce-rtx-3050-6gb-oc-pcie-40/p/MCO35782011#polycard_client=search-nordic&amp;search_layout=stack&amp;position=8&amp;type=product&amp;tracking_id=ae80694c-0e37-4307-b90d-b243ff634a84&amp;wid=MCO3094010442&amp;sid=search</t>
  </si>
  <si>
    <t>NVIDIA GeForce GTX 1660 Super, adecuada para procesamiento gráfico y visualización fluida de animaciones e interfaces 3D.</t>
  </si>
  <si>
    <t xml:space="preserve">Deben tener minimo 2 dispositicos moviles y cada uno debe tener un sistema operativo diferente para verificar que el proyecto funcione en cualquier dispositivo movil. </t>
  </si>
  <si>
    <t>https://www.alkosto.com/celular-motorola-g04s-128gb-negro/p/840023266898?utm_source=google&amp;utm_medium=organic&amp;utm_campaign=Shopping-Organico&amp;srsltid=AfmBOorKr22CBYFjLPazckkAnGRC63ValeUb-sFDwMMyp-dqASziOIt6NJk</t>
  </si>
  <si>
    <t>El cliente puede usar tabletas (Android, iPadOS) ya que la aplicación está optimizada para pantallas táctiles más amplias.</t>
  </si>
  <si>
    <t>Debe contar con internet de 500 MB de capacidad.</t>
  </si>
  <si>
    <t>https://www.tigo.com.co/internet/planes</t>
  </si>
  <si>
    <t>onexión WiFi 6 y soporte para redes 5G que garantizan menor latencia y mayor velocidad en transmisión de datos.</t>
  </si>
  <si>
    <t>Trabajaran con 3 licencias del sistema operativo Windows 11 HOME, teniendo en cuenta que el proyecto va orientado a cualquier sistema operativo.</t>
  </si>
  <si>
    <t>https://www.mercadolibre.com.co/software-microsoft-system-builder-windows-11-home-dvd/p/MCO2034970324?matt_tool=19390127&amp;utm_source=google_shopping&amp;utm_medium=organic&amp;pdp_filters=item_id%3AMCO2915493694&amp;from=gshop</t>
  </si>
  <si>
    <t>Compatible con Linux (Ubuntu 22.04 LTS), que asegura estabilidad y soporte de código abierto. También puede ejecutarse en Windows 11.</t>
  </si>
  <si>
    <t>Trabajaran con el editor de codigo Visual Studio Code para trabajar en Windows y Mac, Android Studio para desarrollar el proyecto para los sistemas operativos Android.</t>
  </si>
  <si>
    <t>$0COP</t>
  </si>
  <si>
    <t>Se recomienda Google Chrome o Mozilla Firefox en sus últimas versiones, ya que ambos son compatibles con los estándares web modernos.</t>
  </si>
  <si>
    <t>La aplicación permite integrar funciones con sensores adicionales (como brújula digital y giroscopio), útiles para experiencias inmersivas o aplicaciones de realidad aumentada.</t>
  </si>
  <si>
    <t>OPCION 3</t>
  </si>
  <si>
    <t>Deben contar con al menos un procesador intel 9 de doceava generacion.</t>
  </si>
  <si>
    <t>https://www.mercadolibre.com.co/procesador-intel-core-i912900k-16-nucleos-24-hilos-520-ghz/up/MCOU3313166312</t>
  </si>
  <si>
    <t>Apple M1 (arquitectura ARM), optimizado para eficiencia energética y alto rendimiento en aplicaciones universales.</t>
  </si>
  <si>
    <t>12 GB LPDDR4X, equilibrada entre consumo y capacidad multitarea.
Almacenamiento: SSD de 256 GB con tecnología NVMe, que brinda alta velocidad en apertura de programas y transferencia de archivos.</t>
  </si>
  <si>
    <t>Deben contar con minimo una Tarjeta de video Nvidia Gigabyte para procesar y generar las imágenes que vemos en la pantalla.</t>
  </si>
  <si>
    <t>https://www.mercadolibre.com.co/tarjeta-de-video-nvidia-gigabyte-windforce-geforce-rtx-40-series-rtx-4060-oc-edition-8gb/p/MCO25803305?matt_tool=19390127&amp;utm_source=google_shopping&amp;utm_medium=organic&amp;pdp_filters=item_id%3AMCO3022764072&amp;from=gshop</t>
  </si>
  <si>
    <t>GPU integrada Apple M1 con 7 núcleos, adecuada para entornos gráficos y multimedia sin necesidad de tarjeta dedicada.</t>
  </si>
  <si>
    <t>Deben tener 1 celular iphone 11  y un samsung A06, para realizar las pruebas del funcionamiento del proyecto.</t>
  </si>
  <si>
    <t>https://www.mercadolibre.com.co/samsung-galaxy-a06-black-128-gb-4-gb/p/MCO41999134?product_trigger_id=MCO41998696&amp;picker=true&amp;quantity=1</t>
  </si>
  <si>
    <t>Smartwatches o dispositivos wearables compatibles con la aplicación (para notificaciones o geolocalización rápida).</t>
  </si>
  <si>
    <t>Debe contar con internet de 900 MB de capacidad</t>
  </si>
  <si>
    <t>https://www.movistar.com.co/hogar/planes-internet-hogar</t>
  </si>
  <si>
    <t>Compatibilidad con WiFi 5 y Bluetooth 5.0, ideal para conexión de periféricos y transmisión de datos sin cables.</t>
  </si>
  <si>
    <t>Trabajaran en el sistema operativo Windows 11 PRO, teniendo en cuenta que el proyecto va orientado a cualquier sistema operativo.</t>
  </si>
  <si>
    <t>PadOS o sistemas híbridos como PhoenixOS (Android adaptado a PC), útiles para escenarios de movilidad.</t>
  </si>
  <si>
    <t>Safari (en entornos Apple) o navegadores alternativos como Brave, que priorizan la seguridad y privacidad.</t>
  </si>
  <si>
    <t>Integración con servicios de mapas externos (Google Maps, OpenStreetMap) y soporte de ubicación en interiores mediante beacons.</t>
  </si>
  <si>
    <t>Recursos Humanos</t>
  </si>
  <si>
    <t>Nombre Integrante</t>
  </si>
  <si>
    <t>ROL principal</t>
  </si>
  <si>
    <t>Roles Adicionales</t>
  </si>
  <si>
    <t>Funciones</t>
  </si>
  <si>
    <t>Tecnologias Clave</t>
  </si>
  <si>
    <t>Tiempo estimado en meses</t>
  </si>
  <si>
    <t>Costo estimado mensual</t>
  </si>
  <si>
    <t>Costo total aproximado</t>
  </si>
  <si>
    <t>Johan Smith Santamaria Fernandez</t>
  </si>
  <si>
    <t>Lider del proyecto</t>
  </si>
  <si>
    <t>Desarrollador BackEnd</t>
  </si>
  <si>
    <t>Coordinar y supervisar al equipo, planificar las entregas y la logica de negocio, se encargara de desarrollar la API que sirve como columna vertebral de la aplicación.</t>
  </si>
  <si>
    <t>Node.js, Git, JavaScript, Express.js</t>
  </si>
  <si>
    <t>Sharik Dayanna Rojas Ibarra</t>
  </si>
  <si>
    <t>Analista y documentador</t>
  </si>
  <si>
    <t>Desarrolladora FrontEnd</t>
  </si>
  <si>
    <t>Su principal objetivo es crear una interfaz intuitiva, rápida y visualmente coherente que conecte perfectamente al usuario con el producto, asegurándose de que cada interacción sea fluida y satisfactoria. Adiconal documentara el trabajo tanto de su rol como el de los demas roles.</t>
  </si>
  <si>
    <t>React, HTML, CSS</t>
  </si>
  <si>
    <t>Juan Pablo Chala Ramirez</t>
  </si>
  <si>
    <t>Creador de la base de datos</t>
  </si>
  <si>
    <t>Apoyo en el BackEnd</t>
  </si>
  <si>
    <t>Se encargara de diseñar, estructurar y de poner en funcionamiento la base de datos. Adicional ayudara en el desarrollo BackEnd.</t>
  </si>
  <si>
    <t>MySQL, SQL Server, PostgreSQL</t>
  </si>
  <si>
    <t>HOSTING</t>
  </si>
  <si>
    <t>Nombre</t>
  </si>
  <si>
    <t>Precio</t>
  </si>
  <si>
    <t>Descripcion</t>
  </si>
  <si>
    <t>Hosting y Dominios en Colombia - ColombiaHosting</t>
  </si>
  <si>
    <t>Hosting para montar el software en aplicacion web para los administradores, quienes seran los encargados de gestionar las rutas y demas.</t>
  </si>
  <si>
    <t>https://sistema.colombiahosting.com.co/order/product?catid=261e5098-973d-2475-170f-345e610832d7&amp;pid=5983e230-6e75-4017-189f-14981d210d76&amp;currency=cop</t>
  </si>
  <si>
    <r>
      <rPr>
        <rFont val="Arial"/>
        <b/>
        <color theme="1"/>
      </rPr>
      <t xml:space="preserve">Nota: </t>
    </r>
    <r>
      <rPr>
        <rFont val="Arial"/>
        <color theme="1"/>
      </rPr>
      <t>Los precios son de acuerdo a las fechas consultadas (29/09/2025) en las paginas.</t>
    </r>
  </si>
  <si>
    <t>Web Hosting Colombia, VPS Colombia, Servidores Dedicados</t>
  </si>
  <si>
    <t>Web Hosting para montar el software en aplicacion web para los administradores, quienes seran los encargados de gestionar las rutas.El precio corresponde a la opcion con nombre MOST POPULAR Ilimitado.</t>
  </si>
  <si>
    <t>https://www.wnpower.net/co/pricing/</t>
  </si>
  <si>
    <t>Cloud Hosting, para servicios en la nube como por ejemplo AWS. El precio corresponde a la opcion MOST POPULAR Smart.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</si>
</sst>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&quot;$&quot;\ #,##0;\-&quot;$&quot;\ #,##0"/>
  </numFmts>
  <fonts count="22">
    <font>
      <sz val="11.0"/>
      <color theme="1"/>
      <name val="Aptos Narrow"/>
      <scheme val="minor"/>
    </font>
    <font>
      <b/>
      <color theme="1"/>
      <name val="Arial"/>
    </font>
    <font/>
    <font>
      <b/>
      <sz val="12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u/>
      <sz val="11.0"/>
      <color theme="10"/>
      <name val="Aptos Narrow"/>
    </font>
    <font>
      <sz val="10.0"/>
      <color rgb="FF0F1115"/>
      <name val="Quattrocento Sans"/>
    </font>
    <font>
      <u/>
      <sz val="11.0"/>
      <color theme="10"/>
      <name val="Aptos Narrow"/>
    </font>
    <font>
      <b/>
      <sz val="12.0"/>
      <color theme="1"/>
      <name val="Arial"/>
    </font>
    <font>
      <b/>
      <sz val="13.0"/>
      <color theme="1"/>
      <name val="Aptos Narrow"/>
    </font>
    <font>
      <b/>
      <sz val="13.0"/>
      <color theme="1"/>
      <name val="Aptos Narrow"/>
      <scheme val="minor"/>
    </font>
    <font>
      <b/>
      <sz val="15.0"/>
      <color theme="1"/>
      <name val="Aptos Narrow"/>
      <scheme val="minor"/>
    </font>
    <font>
      <b/>
      <color rgb="FF000000"/>
      <name val="Arial"/>
    </font>
    <font>
      <u/>
      <sz val="11.0"/>
      <color theme="10"/>
      <name val="Aptos Narrow"/>
    </font>
    <font>
      <b/>
      <sz val="11.0"/>
      <color theme="1"/>
      <name val="Arial"/>
    </font>
    <font>
      <color theme="1"/>
      <name val="Arial"/>
    </font>
    <font>
      <b/>
      <color theme="1"/>
      <name val="Aptos Narrow"/>
      <scheme val="minor"/>
    </font>
    <font>
      <u/>
      <sz val="11.0"/>
      <color rgb="FF467886"/>
      <name val="Arial"/>
    </font>
    <font>
      <u/>
      <color rgb="FF467886"/>
      <name val="Arial"/>
    </font>
    <font>
      <color theme="1"/>
      <name val="Aptos Narrow"/>
      <scheme val="minor"/>
    </font>
    <font>
      <u/>
      <color rgb="FF46788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vertical="center"/>
    </xf>
    <xf borderId="5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4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left" vertical="center"/>
    </xf>
    <xf borderId="6" fillId="0" fontId="2" numFmtId="0" xfId="0" applyBorder="1" applyFont="1"/>
    <xf borderId="5" fillId="0" fontId="4" numFmtId="0" xfId="0" applyAlignment="1" applyBorder="1" applyFont="1">
      <alignment horizontal="center"/>
    </xf>
    <xf borderId="4" fillId="0" fontId="4" numFmtId="0" xfId="0" applyBorder="1" applyFont="1"/>
    <xf borderId="1" fillId="0" fontId="4" numFmtId="0" xfId="0" applyAlignment="1" applyBorder="1" applyFont="1">
      <alignment shrinkToFit="0" vertical="center" wrapText="1"/>
    </xf>
    <xf borderId="4" fillId="0" fontId="5" numFmtId="164" xfId="0" applyAlignment="1" applyBorder="1" applyFont="1" applyNumberFormat="1">
      <alignment readingOrder="0" vertical="center"/>
    </xf>
    <xf borderId="4" fillId="0" fontId="6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8" fillId="0" fontId="2" numFmtId="0" xfId="0" applyBorder="1" applyFont="1"/>
    <xf borderId="4" fillId="0" fontId="5" numFmtId="164" xfId="0" applyAlignment="1" applyBorder="1" applyFont="1" applyNumberFormat="1">
      <alignment horizontal="right" readingOrder="0" vertical="center"/>
    </xf>
    <xf borderId="1" fillId="0" fontId="5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readingOrder="0" vertical="center"/>
    </xf>
    <xf borderId="4" fillId="0" fontId="10" numFmtId="164" xfId="0" applyAlignment="1" applyBorder="1" applyFont="1" applyNumberFormat="1">
      <alignment horizontal="right" vertical="center"/>
    </xf>
    <xf borderId="4" fillId="0" fontId="3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4" fillId="0" fontId="5" numFmtId="164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readingOrder="0"/>
    </xf>
    <xf borderId="4" fillId="0" fontId="11" numFmtId="164" xfId="0" applyBorder="1" applyFont="1" applyNumberFormat="1"/>
    <xf borderId="4" fillId="0" fontId="1" numFmtId="0" xfId="0" applyAlignment="1" applyBorder="1" applyFont="1">
      <alignment readingOrder="0"/>
    </xf>
    <xf borderId="4" fillId="0" fontId="12" numFmtId="164" xfId="0" applyBorder="1" applyFont="1" applyNumberFormat="1"/>
    <xf borderId="1" fillId="2" fontId="1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right" shrinkToFit="0" vertical="center" wrapText="1"/>
    </xf>
    <xf borderId="0" fillId="0" fontId="4" numFmtId="0" xfId="0" applyAlignment="1" applyFont="1">
      <alignment vertical="center"/>
    </xf>
    <xf borderId="4" fillId="0" fontId="10" numFmtId="164" xfId="0" applyAlignment="1" applyBorder="1" applyFont="1" applyNumberFormat="1">
      <alignment shrinkToFit="0" vertical="center" wrapText="1"/>
    </xf>
    <xf borderId="0" fillId="0" fontId="14" numFmtId="0" xfId="0" applyAlignment="1" applyFont="1">
      <alignment horizontal="left" shrinkToFit="0" vertical="top" wrapText="1"/>
    </xf>
    <xf borderId="4" fillId="0" fontId="15" numFmtId="0" xfId="0" applyAlignment="1" applyBorder="1" applyFont="1">
      <alignment readingOrder="0" shrinkToFit="0" vertical="center" wrapText="1"/>
    </xf>
    <xf borderId="1" fillId="2" fontId="1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readingOrder="0" vertical="center"/>
    </xf>
    <xf borderId="4" fillId="0" fontId="4" numFmtId="3" xfId="0" applyAlignment="1" applyBorder="1" applyFont="1" applyNumberFormat="1">
      <alignment horizontal="left" vertical="center"/>
    </xf>
    <xf borderId="4" fillId="0" fontId="4" numFmtId="165" xfId="0" applyAlignment="1" applyBorder="1" applyFont="1" applyNumberFormat="1">
      <alignment horizontal="left" vertical="center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17" numFmtId="165" xfId="0" applyBorder="1" applyFont="1" applyNumberFormat="1"/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4" fillId="0" fontId="18" numFmtId="0" xfId="0" applyAlignment="1" applyBorder="1" applyFont="1">
      <alignment readingOrder="0" shrinkToFit="0" vertical="center" wrapText="1"/>
    </xf>
    <xf borderId="4" fillId="0" fontId="16" numFmtId="164" xfId="0" applyAlignment="1" applyBorder="1" applyFont="1" applyNumberFormat="1">
      <alignment readingOrder="0" vertical="center"/>
    </xf>
    <xf borderId="4" fillId="0" fontId="16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horizontal="left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5" fillId="0" fontId="16" numFmtId="0" xfId="0" applyAlignment="1" applyBorder="1" applyFont="1">
      <alignment readingOrder="0" shrinkToFit="0" vertical="center" wrapText="1"/>
    </xf>
    <xf borderId="5" fillId="0" fontId="21" numFmtId="0" xfId="0" applyAlignment="1" applyBorder="1" applyFont="1">
      <alignment readingOrder="0" shrinkToFit="0" vertical="center" wrapText="1"/>
    </xf>
    <xf borderId="4" fillId="0" fontId="16" numFmtId="164" xfId="0" applyAlignment="1" applyBorder="1" applyFont="1" applyNumberFormat="1">
      <alignment readingOrder="0" shrinkToFit="0" vertical="center" wrapText="1"/>
    </xf>
    <xf borderId="4" fillId="0" fontId="1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ercadolibre.com.co/software-microsoft-system-builder-windows-11-home-dvd/p/MCO2034970324?matt_tool=19390127&amp;utm_source=google_shopping&amp;utm_medium=organic&amp;pdp_filters=item_id%3AMCO2915493694&amp;from=gshop" TargetMode="External"/><Relationship Id="rId22" Type="http://schemas.openxmlformats.org/officeDocument/2006/relationships/hyperlink" Target="https://dev.mysql.com/downloads/workbench/" TargetMode="External"/><Relationship Id="rId21" Type="http://schemas.openxmlformats.org/officeDocument/2006/relationships/hyperlink" Target="https://code.visualstudio.com/" TargetMode="External"/><Relationship Id="rId24" Type="http://schemas.openxmlformats.org/officeDocument/2006/relationships/hyperlink" Target="https://discord.com/download" TargetMode="External"/><Relationship Id="rId23" Type="http://schemas.openxmlformats.org/officeDocument/2006/relationships/hyperlink" Target="https://git-scm.com/downloads/win" TargetMode="External"/><Relationship Id="rId1" Type="http://schemas.openxmlformats.org/officeDocument/2006/relationships/hyperlink" Target="https://www.mercadolibre.com.co/procesador-intel-core-i5-10400-bx8070110400-de-6-nucleos-y-43ghz-de-frecuencia-con-grafica-integrada/p/MCO15909810?matt_tool=19390127&amp;utm_source=google_shopping&amp;utm_medium=organic&amp;pdp_filters=item_id%3AMCO2918450830&amp;from=gshop" TargetMode="External"/><Relationship Id="rId2" Type="http://schemas.openxmlformats.org/officeDocument/2006/relationships/hyperlink" Target="https://www.mercadolibre.com.co/memoria-ram-portatil-kingston-fury-impact-ddr4-8gb-3200mts-negro/p/MCO18571345" TargetMode="External"/><Relationship Id="rId3" Type="http://schemas.openxmlformats.org/officeDocument/2006/relationships/hyperlink" Target="https://www.mercadolibre.com.co/disco-duro-interno-western-digital-wd5000lpcx-500gb-azul/p/MCO6326224" TargetMode="External"/><Relationship Id="rId4" Type="http://schemas.openxmlformats.org/officeDocument/2006/relationships/hyperlink" Target="https://www.mercadolibre.com.co/tarjeta-de-video-amd-asrock-challenger-radeon-rx-6600-series-rx-6600-cld-8g-8gb/p/MCO19811124" TargetMode="External"/><Relationship Id="rId9" Type="http://schemas.openxmlformats.org/officeDocument/2006/relationships/hyperlink" Target="https://code.visualstudio.com/" TargetMode="External"/><Relationship Id="rId26" Type="http://schemas.openxmlformats.org/officeDocument/2006/relationships/hyperlink" Target="https://www.mercadolibre.com.co/memoria-ram-portatil-kingston-fury-impact-ddr4-8gb-3200mts-negro/p/MCO18571345" TargetMode="External"/><Relationship Id="rId25" Type="http://schemas.openxmlformats.org/officeDocument/2006/relationships/hyperlink" Target="https://www.mercadolibre.com.co/procesador-intel-core-i912900k-16-nucleos-24-hilos-520-ghz/up/MCOU3313166312" TargetMode="External"/><Relationship Id="rId28" Type="http://schemas.openxmlformats.org/officeDocument/2006/relationships/hyperlink" Target="https://www.mercadolibre.com.co/tarjeta-de-video-nvidia-gigabyte-windforce-geforce-rtx-40-series-rtx-4060-oc-edition-8gb/p/MCO25803305?matt_tool=19390127&amp;utm_source=google_shopping&amp;utm_medium=organic&amp;pdp_filters=item_id%3AMCO3022764072&amp;from=gshop" TargetMode="External"/><Relationship Id="rId27" Type="http://schemas.openxmlformats.org/officeDocument/2006/relationships/hyperlink" Target="https://www.mercadolibre.com.co/disco-duro-interno-western-digital-wd5000lpcx-500gb-azul/p/MCO6326224" TargetMode="External"/><Relationship Id="rId5" Type="http://schemas.openxmlformats.org/officeDocument/2006/relationships/hyperlink" Target="https://www.falabella.com.co/falabella-co/product/140757299/Celular-Xiaomi-Redmi-Note-14-Pro-Midnight-Black-8G-RAM-256G/140757300" TargetMode="External"/><Relationship Id="rId6" Type="http://schemas.openxmlformats.org/officeDocument/2006/relationships/hyperlink" Target="https://claro-promociones.co/s/td/internet.html" TargetMode="External"/><Relationship Id="rId29" Type="http://schemas.openxmlformats.org/officeDocument/2006/relationships/hyperlink" Target="https://www.mercadolibre.com.co/samsung-galaxy-a06-black-128-gb-4-gb/p/MCO41999134?product_trigger_id=MCO41998696&amp;picker=true&amp;quantity=1" TargetMode="External"/><Relationship Id="rId7" Type="http://schemas.openxmlformats.org/officeDocument/2006/relationships/hyperlink" Target="https://www.mercadolibre.com.co/rastreador-gps-tkstar-tk905-4g/up/MCOU3173835086" TargetMode="External"/><Relationship Id="rId8" Type="http://schemas.openxmlformats.org/officeDocument/2006/relationships/hyperlink" Target="https://www.falabella.com.co/falabella-co/product/129798120/Licencia-Fisica-Windows-11-Pro-64bit-Espanol-Latino-Dvd/129798121" TargetMode="External"/><Relationship Id="rId31" Type="http://schemas.openxmlformats.org/officeDocument/2006/relationships/hyperlink" Target="https://www.falabella.com.co/falabella-co/product/129798120/Licencia-Fisica-Windows-11-Pro-64bit-Espanol-Latino-Dvd/129798121" TargetMode="External"/><Relationship Id="rId30" Type="http://schemas.openxmlformats.org/officeDocument/2006/relationships/hyperlink" Target="https://www.movistar.com.co/hogar/planes-internet-hogar" TargetMode="External"/><Relationship Id="rId11" Type="http://schemas.openxmlformats.org/officeDocument/2006/relationships/hyperlink" Target="https://git-scm.com/downloads/win" TargetMode="External"/><Relationship Id="rId33" Type="http://schemas.openxmlformats.org/officeDocument/2006/relationships/hyperlink" Target="https://dev.mysql.com/downloads/workbench/" TargetMode="External"/><Relationship Id="rId10" Type="http://schemas.openxmlformats.org/officeDocument/2006/relationships/hyperlink" Target="https://dev.mysql.com/downloads/workbench/" TargetMode="External"/><Relationship Id="rId32" Type="http://schemas.openxmlformats.org/officeDocument/2006/relationships/hyperlink" Target="https://code.visualstudio.com/" TargetMode="External"/><Relationship Id="rId13" Type="http://schemas.openxmlformats.org/officeDocument/2006/relationships/hyperlink" Target="https://www.mercadolibre.com.co/microsoft-office-365-personal-con-licencia-de-1-ano-digital/p/MCO52724174?matt_tool=19390127&amp;utm_source=google_shopping&amp;utm_medium=organic&amp;pdp_filters=item_id%3AMCO3029228532&amp;from=gshop" TargetMode="External"/><Relationship Id="rId35" Type="http://schemas.openxmlformats.org/officeDocument/2006/relationships/hyperlink" Target="https://discord.com/download" TargetMode="External"/><Relationship Id="rId12" Type="http://schemas.openxmlformats.org/officeDocument/2006/relationships/hyperlink" Target="https://discord.com/download" TargetMode="External"/><Relationship Id="rId34" Type="http://schemas.openxmlformats.org/officeDocument/2006/relationships/hyperlink" Target="https://git-scm.com/downloads/win" TargetMode="External"/><Relationship Id="rId15" Type="http://schemas.openxmlformats.org/officeDocument/2006/relationships/hyperlink" Target="https://www.mercadolibre.com.co/memoria-ram-kingston-fury-impact-ddr4-16gb-3200-mhz-modelo-kf432s20ib16/p/MCO18931517" TargetMode="External"/><Relationship Id="rId14" Type="http://schemas.openxmlformats.org/officeDocument/2006/relationships/hyperlink" Target="https://www.ebay.com/itm/355561619418?chn=ps&amp;mkevt=1&amp;mkcid=28&amp;google_free_listing_action=view_item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mercadolibre.com.co/tarjeta-grafica-dual-nvidia-geforce-rtx-3050-6gb-oc-pcie-40/p/MCO35782011" TargetMode="External"/><Relationship Id="rId16" Type="http://schemas.openxmlformats.org/officeDocument/2006/relationships/hyperlink" Target="https://www.mercadolibre.com.co/disco-solido-interno-ssd-patriot-512gb-p210-sata-iii-25/p/MCO19756138" TargetMode="External"/><Relationship Id="rId19" Type="http://schemas.openxmlformats.org/officeDocument/2006/relationships/hyperlink" Target="https://www.tigo.com.co/internet/planes" TargetMode="External"/><Relationship Id="rId18" Type="http://schemas.openxmlformats.org/officeDocument/2006/relationships/hyperlink" Target="https://www.alkosto.com/celular-motorola-g04s-128gb-negro/p/840023266898?utm_source=google&amp;utm_medium=organic&amp;utm_campaign=Shopping-Organico&amp;srsltid=AfmBOorKr22CBYFjLPazckkAnGRC63ValeUb-sFDwMMyp-dqASziOIt6NJ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lombiahosting.com.co/" TargetMode="External"/><Relationship Id="rId2" Type="http://schemas.openxmlformats.org/officeDocument/2006/relationships/hyperlink" Target="https://sistema.colombiahosting.com.co/order/product?catid=261e5098-973d-2475-170f-345e610832d7&amp;pid=5983e230-6e75-4017-189f-14981d210d76&amp;currency=cop" TargetMode="External"/><Relationship Id="rId3" Type="http://schemas.openxmlformats.org/officeDocument/2006/relationships/hyperlink" Target="https://www.wnpower.net/co/pricing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4.38"/>
    <col customWidth="1" min="3" max="3" width="23.38"/>
    <col customWidth="1" min="4" max="4" width="46.0"/>
    <col customWidth="1" min="5" max="5" width="26.63"/>
    <col customWidth="1" min="6" max="6" width="29.25"/>
    <col customWidth="1" min="7" max="7" width="11.38"/>
    <col customWidth="1" min="8" max="8" width="4.38"/>
    <col customWidth="1" min="9" max="9" width="4.0"/>
    <col customWidth="1" min="10" max="10" width="29.0"/>
    <col customWidth="1" min="11" max="11" width="21.25"/>
    <col customWidth="1" min="12" max="12" width="19.38"/>
    <col customWidth="1" min="13" max="13" width="17.25"/>
    <col customWidth="1" min="14" max="14" width="20.25"/>
    <col customWidth="1" min="15" max="15" width="22.75"/>
    <col customWidth="1" min="16" max="16" width="24.75"/>
    <col customWidth="1" min="17" max="26" width="11.38"/>
  </cols>
  <sheetData>
    <row r="1">
      <c r="A1" s="1" t="s">
        <v>0</v>
      </c>
      <c r="B1" s="2"/>
      <c r="C1" s="2"/>
      <c r="D1" s="2"/>
      <c r="E1" s="2"/>
      <c r="F1" s="3"/>
      <c r="H1" s="4" t="s">
        <v>0</v>
      </c>
      <c r="I1" s="2"/>
      <c r="J1" s="2"/>
      <c r="K1" s="2"/>
      <c r="L1" s="2"/>
      <c r="M1" s="3"/>
    </row>
    <row r="2">
      <c r="A2" s="5" t="s">
        <v>1</v>
      </c>
      <c r="B2" s="2"/>
      <c r="C2" s="2"/>
      <c r="D2" s="2"/>
      <c r="E2" s="2"/>
      <c r="F2" s="3"/>
      <c r="H2" s="5" t="s">
        <v>2</v>
      </c>
      <c r="I2" s="2"/>
      <c r="J2" s="2"/>
      <c r="K2" s="2"/>
      <c r="L2" s="2"/>
      <c r="M2" s="3"/>
    </row>
    <row r="3">
      <c r="A3" s="6" t="s">
        <v>3</v>
      </c>
      <c r="B3" s="2"/>
      <c r="C3" s="2"/>
      <c r="D3" s="2"/>
      <c r="E3" s="7" t="s">
        <v>4</v>
      </c>
      <c r="F3" s="7" t="s">
        <v>5</v>
      </c>
      <c r="H3" s="6" t="s">
        <v>3</v>
      </c>
      <c r="I3" s="2"/>
      <c r="J3" s="2"/>
      <c r="K3" s="2"/>
      <c r="L3" s="2"/>
      <c r="M3" s="3"/>
    </row>
    <row r="4" ht="32.25" customHeight="1">
      <c r="A4" s="8"/>
      <c r="B4" s="9" t="s">
        <v>6</v>
      </c>
      <c r="C4" s="9"/>
      <c r="D4" s="10" t="s">
        <v>7</v>
      </c>
      <c r="E4" s="9"/>
      <c r="F4" s="9"/>
      <c r="H4" s="9"/>
      <c r="I4" s="11" t="s">
        <v>8</v>
      </c>
      <c r="J4" s="2"/>
      <c r="K4" s="2"/>
      <c r="L4" s="2"/>
      <c r="M4" s="3"/>
    </row>
    <row r="5" ht="30.0" customHeight="1">
      <c r="A5" s="12"/>
      <c r="B5" s="13"/>
      <c r="C5" s="14" t="s">
        <v>9</v>
      </c>
      <c r="D5" s="15" t="s">
        <v>10</v>
      </c>
      <c r="E5" s="16">
        <v>700000.0</v>
      </c>
      <c r="F5" s="17" t="s">
        <v>11</v>
      </c>
      <c r="H5" s="14"/>
      <c r="I5" s="14"/>
      <c r="J5" s="14" t="s">
        <v>9</v>
      </c>
      <c r="K5" s="18" t="s">
        <v>12</v>
      </c>
      <c r="L5" s="2"/>
      <c r="M5" s="3"/>
      <c r="N5" s="19"/>
      <c r="O5" s="20"/>
      <c r="P5" s="20"/>
    </row>
    <row r="6" ht="27.75" customHeight="1">
      <c r="A6" s="12"/>
      <c r="B6" s="12"/>
      <c r="C6" s="14" t="s">
        <v>13</v>
      </c>
      <c r="D6" s="15" t="s">
        <v>14</v>
      </c>
      <c r="E6" s="16">
        <v>160000.0</v>
      </c>
      <c r="F6" s="17" t="s">
        <v>15</v>
      </c>
      <c r="H6" s="14"/>
      <c r="I6" s="14"/>
      <c r="J6" s="14" t="s">
        <v>13</v>
      </c>
      <c r="K6" s="18" t="s">
        <v>16</v>
      </c>
      <c r="L6" s="2"/>
      <c r="M6" s="3"/>
      <c r="N6" s="19"/>
      <c r="O6" s="20"/>
      <c r="P6" s="20"/>
    </row>
    <row r="7" ht="45.0" customHeight="1">
      <c r="A7" s="12"/>
      <c r="B7" s="12"/>
      <c r="C7" s="14" t="s">
        <v>17</v>
      </c>
      <c r="D7" s="15" t="s">
        <v>18</v>
      </c>
      <c r="E7" s="16">
        <v>240000.0</v>
      </c>
      <c r="F7" s="17" t="s">
        <v>19</v>
      </c>
      <c r="H7" s="14"/>
      <c r="I7" s="14"/>
      <c r="J7" s="14" t="s">
        <v>17</v>
      </c>
      <c r="K7" s="18" t="s">
        <v>20</v>
      </c>
      <c r="L7" s="2"/>
      <c r="M7" s="3"/>
      <c r="N7" s="19"/>
      <c r="O7" s="20"/>
      <c r="P7" s="20"/>
    </row>
    <row r="8" ht="50.25" customHeight="1">
      <c r="A8" s="12"/>
      <c r="B8" s="21"/>
      <c r="C8" s="14" t="s">
        <v>21</v>
      </c>
      <c r="D8" s="15" t="s">
        <v>22</v>
      </c>
      <c r="E8" s="22">
        <v>3000000.0</v>
      </c>
      <c r="F8" s="17" t="s">
        <v>23</v>
      </c>
      <c r="H8" s="14"/>
      <c r="I8" s="14"/>
      <c r="J8" s="14" t="s">
        <v>21</v>
      </c>
      <c r="K8" s="18" t="s">
        <v>24</v>
      </c>
      <c r="L8" s="2"/>
      <c r="M8" s="3"/>
      <c r="N8" s="19"/>
      <c r="O8" s="20"/>
      <c r="P8" s="20"/>
    </row>
    <row r="9" ht="57.75" customHeight="1">
      <c r="A9" s="12"/>
      <c r="B9" s="11" t="s">
        <v>25</v>
      </c>
      <c r="C9" s="3"/>
      <c r="D9" s="23" t="s">
        <v>26</v>
      </c>
      <c r="E9" s="16">
        <v>2000000.0</v>
      </c>
      <c r="F9" s="17" t="s">
        <v>27</v>
      </c>
      <c r="H9" s="14"/>
      <c r="I9" s="11" t="s">
        <v>25</v>
      </c>
      <c r="J9" s="3"/>
      <c r="K9" s="18" t="s">
        <v>28</v>
      </c>
      <c r="L9" s="2"/>
      <c r="M9" s="3"/>
    </row>
    <row r="10" ht="45.0" customHeight="1">
      <c r="A10" s="21"/>
      <c r="B10" s="11" t="s">
        <v>29</v>
      </c>
      <c r="C10" s="3"/>
      <c r="D10" s="15" t="s">
        <v>30</v>
      </c>
      <c r="E10" s="16">
        <v>80000.0</v>
      </c>
      <c r="F10" s="17" t="s">
        <v>31</v>
      </c>
      <c r="H10" s="14"/>
      <c r="I10" s="11" t="s">
        <v>29</v>
      </c>
      <c r="J10" s="3"/>
      <c r="K10" s="18" t="s">
        <v>32</v>
      </c>
      <c r="L10" s="2"/>
      <c r="M10" s="3"/>
      <c r="N10" s="19"/>
      <c r="O10" s="20"/>
      <c r="P10" s="20"/>
    </row>
    <row r="11" ht="45.0" customHeight="1">
      <c r="A11" s="24"/>
      <c r="B11" s="25" t="s">
        <v>33</v>
      </c>
      <c r="C11" s="3"/>
      <c r="D11" s="23" t="s">
        <v>34</v>
      </c>
      <c r="E11" s="16">
        <v>270000.0</v>
      </c>
      <c r="F11" s="26" t="s">
        <v>35</v>
      </c>
      <c r="H11" s="14"/>
      <c r="I11" s="27"/>
      <c r="J11" s="27"/>
      <c r="K11" s="28"/>
      <c r="L11" s="28"/>
      <c r="M11" s="28"/>
      <c r="N11" s="20"/>
      <c r="O11" s="20"/>
      <c r="P11" s="20"/>
    </row>
    <row r="12">
      <c r="A12" s="6"/>
      <c r="B12" s="2"/>
      <c r="C12" s="3"/>
      <c r="D12" s="29" t="s">
        <v>36</v>
      </c>
      <c r="E12" s="30">
        <f>SUM(E5:E11)</f>
        <v>6450000</v>
      </c>
      <c r="F12" s="31"/>
      <c r="H12" s="31"/>
      <c r="I12" s="31"/>
      <c r="J12" s="31"/>
      <c r="K12" s="31"/>
      <c r="L12" s="31"/>
      <c r="M12" s="31"/>
    </row>
    <row r="13">
      <c r="A13" s="6" t="s">
        <v>37</v>
      </c>
      <c r="B13" s="2"/>
      <c r="C13" s="2"/>
      <c r="D13" s="2"/>
      <c r="E13" s="2"/>
      <c r="F13" s="3"/>
      <c r="H13" s="6" t="s">
        <v>37</v>
      </c>
      <c r="I13" s="2"/>
      <c r="J13" s="2"/>
      <c r="K13" s="2"/>
      <c r="L13" s="2"/>
      <c r="M13" s="3"/>
    </row>
    <row r="14" ht="43.5" customHeight="1">
      <c r="A14" s="13"/>
      <c r="B14" s="32" t="s">
        <v>38</v>
      </c>
      <c r="C14" s="3"/>
      <c r="D14" s="10" t="s">
        <v>39</v>
      </c>
      <c r="E14" s="22">
        <v>775000.0</v>
      </c>
      <c r="F14" s="17" t="s">
        <v>40</v>
      </c>
      <c r="H14" s="14"/>
      <c r="I14" s="11" t="s">
        <v>38</v>
      </c>
      <c r="J14" s="3"/>
      <c r="K14" s="18" t="s">
        <v>41</v>
      </c>
      <c r="L14" s="2"/>
      <c r="M14" s="3"/>
      <c r="N14" s="19"/>
      <c r="O14" s="20"/>
      <c r="P14" s="20"/>
    </row>
    <row r="15" ht="82.5" customHeight="1">
      <c r="A15" s="12"/>
      <c r="B15" s="32" t="s">
        <v>42</v>
      </c>
      <c r="C15" s="3"/>
      <c r="D15" s="10" t="s">
        <v>43</v>
      </c>
      <c r="E15" s="33">
        <v>0.0</v>
      </c>
      <c r="F15" s="17" t="s">
        <v>44</v>
      </c>
      <c r="H15" s="14"/>
      <c r="I15" s="11" t="s">
        <v>45</v>
      </c>
      <c r="J15" s="3"/>
      <c r="K15" s="18" t="s">
        <v>46</v>
      </c>
      <c r="L15" s="2"/>
      <c r="M15" s="3"/>
    </row>
    <row r="16" ht="42.0" customHeight="1">
      <c r="A16" s="12"/>
      <c r="B16" s="32" t="s">
        <v>47</v>
      </c>
      <c r="C16" s="3"/>
      <c r="D16" s="10" t="s">
        <v>48</v>
      </c>
      <c r="E16" s="33">
        <v>0.0</v>
      </c>
      <c r="F16" s="17" t="s">
        <v>49</v>
      </c>
      <c r="H16" s="14"/>
      <c r="I16" s="11" t="s">
        <v>50</v>
      </c>
      <c r="J16" s="3"/>
      <c r="K16" s="18" t="s">
        <v>51</v>
      </c>
      <c r="L16" s="2"/>
      <c r="M16" s="3"/>
      <c r="N16" s="19"/>
      <c r="O16" s="20"/>
      <c r="P16" s="20"/>
    </row>
    <row r="17" ht="33.0" customHeight="1">
      <c r="A17" s="12"/>
      <c r="B17" s="34" t="s">
        <v>52</v>
      </c>
      <c r="C17" s="3"/>
      <c r="D17" s="10" t="s">
        <v>53</v>
      </c>
      <c r="E17" s="33">
        <v>0.0</v>
      </c>
      <c r="F17" s="17" t="s">
        <v>54</v>
      </c>
    </row>
    <row r="18" ht="45.75" customHeight="1">
      <c r="A18" s="12"/>
      <c r="B18" s="32" t="s">
        <v>55</v>
      </c>
      <c r="C18" s="3"/>
      <c r="D18" s="10" t="s">
        <v>56</v>
      </c>
      <c r="E18" s="33">
        <v>0.0</v>
      </c>
      <c r="F18" s="17" t="s">
        <v>57</v>
      </c>
    </row>
    <row r="19" ht="36.0" customHeight="1">
      <c r="A19" s="21"/>
      <c r="B19" s="11" t="s">
        <v>58</v>
      </c>
      <c r="C19" s="3"/>
      <c r="D19" s="10" t="s">
        <v>59</v>
      </c>
      <c r="E19" s="35">
        <v>775000.0</v>
      </c>
      <c r="F19" s="17" t="s">
        <v>60</v>
      </c>
    </row>
    <row r="20">
      <c r="D20" s="36"/>
      <c r="E20" s="37">
        <f>SUM(E14,E19)</f>
        <v>1550000</v>
      </c>
    </row>
    <row r="21">
      <c r="D21" s="38" t="s">
        <v>36</v>
      </c>
      <c r="E21" s="39">
        <f>SUM(E12,E20)</f>
        <v>8000000</v>
      </c>
    </row>
    <row r="25">
      <c r="A25" s="40" t="s">
        <v>61</v>
      </c>
      <c r="B25" s="2"/>
      <c r="C25" s="2"/>
      <c r="D25" s="2"/>
      <c r="E25" s="2"/>
      <c r="F25" s="3"/>
      <c r="H25" s="4" t="s">
        <v>61</v>
      </c>
      <c r="I25" s="2"/>
      <c r="J25" s="2"/>
      <c r="K25" s="2"/>
      <c r="L25" s="2"/>
      <c r="M25" s="3"/>
    </row>
    <row r="26">
      <c r="A26" s="5" t="s">
        <v>1</v>
      </c>
      <c r="B26" s="2"/>
      <c r="C26" s="2"/>
      <c r="D26" s="2"/>
      <c r="E26" s="2"/>
      <c r="F26" s="3"/>
      <c r="H26" s="5" t="s">
        <v>2</v>
      </c>
      <c r="I26" s="2"/>
      <c r="J26" s="2"/>
      <c r="K26" s="2"/>
      <c r="L26" s="2"/>
      <c r="M26" s="3"/>
    </row>
    <row r="27" ht="15.75" customHeight="1">
      <c r="A27" s="6" t="s">
        <v>3</v>
      </c>
      <c r="B27" s="2"/>
      <c r="C27" s="2"/>
      <c r="D27" s="3"/>
      <c r="E27" s="7" t="s">
        <v>4</v>
      </c>
      <c r="F27" s="7" t="s">
        <v>5</v>
      </c>
      <c r="H27" s="6" t="s">
        <v>3</v>
      </c>
      <c r="I27" s="2"/>
      <c r="J27" s="2"/>
      <c r="K27" s="2"/>
      <c r="L27" s="2"/>
      <c r="M27" s="3"/>
    </row>
    <row r="28" ht="30.0" customHeight="1">
      <c r="A28" s="8"/>
      <c r="B28" s="11" t="s">
        <v>62</v>
      </c>
      <c r="C28" s="3"/>
      <c r="D28" s="10" t="s">
        <v>63</v>
      </c>
      <c r="E28" s="9"/>
      <c r="F28" s="9"/>
      <c r="H28" s="9"/>
      <c r="I28" s="11" t="s">
        <v>8</v>
      </c>
      <c r="J28" s="2"/>
      <c r="K28" s="2"/>
      <c r="L28" s="2"/>
      <c r="M28" s="3"/>
    </row>
    <row r="29" ht="15.75" customHeight="1">
      <c r="A29" s="12"/>
      <c r="B29" s="13"/>
      <c r="C29" s="14" t="s">
        <v>9</v>
      </c>
      <c r="D29" s="15" t="s">
        <v>64</v>
      </c>
      <c r="E29" s="16">
        <v>1500000.0</v>
      </c>
      <c r="F29" s="17" t="s">
        <v>65</v>
      </c>
      <c r="H29" s="14"/>
      <c r="I29" s="14"/>
      <c r="J29" s="14" t="s">
        <v>9</v>
      </c>
      <c r="K29" s="18" t="s">
        <v>66</v>
      </c>
      <c r="L29" s="2"/>
      <c r="M29" s="3"/>
    </row>
    <row r="30" ht="75.75" customHeight="1">
      <c r="A30" s="12"/>
      <c r="B30" s="12"/>
      <c r="C30" s="14" t="s">
        <v>13</v>
      </c>
      <c r="D30" s="15" t="s">
        <v>14</v>
      </c>
      <c r="E30" s="16">
        <v>200000.0</v>
      </c>
      <c r="F30" s="17" t="s">
        <v>67</v>
      </c>
      <c r="H30" s="14"/>
      <c r="I30" s="14"/>
      <c r="J30" s="24" t="s">
        <v>13</v>
      </c>
      <c r="K30" s="18" t="s">
        <v>68</v>
      </c>
      <c r="L30" s="2"/>
      <c r="M30" s="3"/>
    </row>
    <row r="31" ht="45.0" customHeight="1">
      <c r="A31" s="12"/>
      <c r="B31" s="12"/>
      <c r="C31" s="14" t="s">
        <v>17</v>
      </c>
      <c r="D31" s="15" t="s">
        <v>69</v>
      </c>
      <c r="E31" s="16">
        <v>240000.0</v>
      </c>
      <c r="F31" s="17" t="s">
        <v>70</v>
      </c>
      <c r="H31" s="14"/>
      <c r="I31" s="14"/>
      <c r="J31" s="14" t="s">
        <v>17</v>
      </c>
      <c r="K31" s="18" t="s">
        <v>71</v>
      </c>
      <c r="L31" s="2"/>
      <c r="M31" s="3"/>
    </row>
    <row r="32" ht="59.25" customHeight="1">
      <c r="A32" s="12"/>
      <c r="B32" s="21"/>
      <c r="C32" s="14" t="s">
        <v>21</v>
      </c>
      <c r="D32" s="15" t="s">
        <v>72</v>
      </c>
      <c r="E32" s="22">
        <v>3000000.0</v>
      </c>
      <c r="F32" s="17" t="s">
        <v>73</v>
      </c>
      <c r="H32" s="14"/>
      <c r="I32" s="14"/>
      <c r="J32" s="14" t="s">
        <v>21</v>
      </c>
      <c r="K32" s="18" t="s">
        <v>74</v>
      </c>
      <c r="L32" s="2"/>
      <c r="M32" s="3"/>
    </row>
    <row r="33" ht="60.75" customHeight="1">
      <c r="A33" s="12"/>
      <c r="B33" s="11" t="s">
        <v>25</v>
      </c>
      <c r="C33" s="3"/>
      <c r="D33" s="23" t="s">
        <v>75</v>
      </c>
      <c r="E33" s="16">
        <v>2600000.0</v>
      </c>
      <c r="F33" s="17" t="s">
        <v>76</v>
      </c>
      <c r="H33" s="14"/>
      <c r="I33" s="11" t="s">
        <v>25</v>
      </c>
      <c r="J33" s="3"/>
      <c r="K33" s="18" t="s">
        <v>77</v>
      </c>
      <c r="L33" s="2"/>
      <c r="M33" s="3"/>
    </row>
    <row r="34" ht="50.25" customHeight="1">
      <c r="A34" s="21"/>
      <c r="B34" s="11" t="s">
        <v>29</v>
      </c>
      <c r="C34" s="3"/>
      <c r="D34" s="15" t="s">
        <v>78</v>
      </c>
      <c r="E34" s="16">
        <v>60000.0</v>
      </c>
      <c r="F34" s="17" t="s">
        <v>79</v>
      </c>
      <c r="H34" s="14"/>
      <c r="I34" s="11" t="s">
        <v>29</v>
      </c>
      <c r="J34" s="3"/>
      <c r="K34" s="18" t="s">
        <v>80</v>
      </c>
      <c r="L34" s="2"/>
      <c r="M34" s="3"/>
    </row>
    <row r="35" ht="15.75" customHeight="1">
      <c r="A35" s="6"/>
      <c r="B35" s="2"/>
      <c r="C35" s="3"/>
      <c r="D35" s="29" t="s">
        <v>36</v>
      </c>
      <c r="E35" s="30">
        <f>SUM(E29:E34)</f>
        <v>7600000</v>
      </c>
      <c r="F35" s="31"/>
      <c r="H35" s="31"/>
      <c r="I35" s="31"/>
      <c r="J35" s="31"/>
      <c r="K35" s="31"/>
      <c r="L35" s="31"/>
      <c r="M35" s="31"/>
    </row>
    <row r="36" ht="15.75" customHeight="1">
      <c r="A36" s="6" t="s">
        <v>37</v>
      </c>
      <c r="B36" s="2"/>
      <c r="C36" s="2"/>
      <c r="D36" s="2"/>
      <c r="E36" s="2"/>
      <c r="F36" s="3"/>
      <c r="H36" s="6" t="s">
        <v>37</v>
      </c>
      <c r="I36" s="2"/>
      <c r="J36" s="2"/>
      <c r="K36" s="2"/>
      <c r="L36" s="2"/>
      <c r="M36" s="3"/>
    </row>
    <row r="37" ht="45.0" customHeight="1">
      <c r="A37" s="13"/>
      <c r="B37" s="11" t="s">
        <v>38</v>
      </c>
      <c r="C37" s="3"/>
      <c r="D37" s="10" t="s">
        <v>81</v>
      </c>
      <c r="E37" s="22">
        <v>775000.0</v>
      </c>
      <c r="F37" s="17" t="s">
        <v>82</v>
      </c>
      <c r="H37" s="14"/>
      <c r="I37" s="11" t="s">
        <v>38</v>
      </c>
      <c r="J37" s="3"/>
      <c r="K37" s="18" t="s">
        <v>83</v>
      </c>
      <c r="L37" s="2"/>
      <c r="M37" s="3"/>
    </row>
    <row r="38" ht="63.0" customHeight="1">
      <c r="A38" s="12"/>
      <c r="B38" s="11" t="s">
        <v>42</v>
      </c>
      <c r="C38" s="3"/>
      <c r="D38" s="10" t="s">
        <v>84</v>
      </c>
      <c r="E38" s="41" t="s">
        <v>85</v>
      </c>
      <c r="F38" s="17" t="s">
        <v>44</v>
      </c>
      <c r="H38" s="14"/>
      <c r="I38" s="11" t="s">
        <v>45</v>
      </c>
      <c r="J38" s="3"/>
      <c r="K38" s="18" t="s">
        <v>86</v>
      </c>
      <c r="L38" s="2"/>
      <c r="M38" s="3"/>
    </row>
    <row r="39" ht="15.75" customHeight="1">
      <c r="A39" s="12"/>
      <c r="B39" s="11" t="s">
        <v>47</v>
      </c>
      <c r="C39" s="3"/>
      <c r="D39" s="10" t="s">
        <v>48</v>
      </c>
      <c r="E39" s="41" t="s">
        <v>85</v>
      </c>
      <c r="F39" s="17" t="s">
        <v>49</v>
      </c>
      <c r="H39" s="14"/>
      <c r="I39" s="11" t="s">
        <v>50</v>
      </c>
      <c r="J39" s="3"/>
      <c r="K39" s="18" t="s">
        <v>87</v>
      </c>
      <c r="L39" s="2"/>
      <c r="M39" s="3"/>
    </row>
    <row r="40" ht="28.5" customHeight="1">
      <c r="A40" s="12"/>
      <c r="B40" s="18" t="s">
        <v>52</v>
      </c>
      <c r="C40" s="3"/>
      <c r="D40" s="10" t="s">
        <v>53</v>
      </c>
      <c r="E40" s="41" t="s">
        <v>85</v>
      </c>
      <c r="F40" s="17" t="s">
        <v>54</v>
      </c>
    </row>
    <row r="41" ht="45.0" customHeight="1">
      <c r="A41" s="21"/>
      <c r="B41" s="11" t="s">
        <v>55</v>
      </c>
      <c r="C41" s="3"/>
      <c r="D41" s="10" t="s">
        <v>56</v>
      </c>
      <c r="E41" s="41" t="s">
        <v>85</v>
      </c>
      <c r="F41" s="17" t="s">
        <v>57</v>
      </c>
    </row>
    <row r="42" ht="14.25" customHeight="1">
      <c r="B42" s="42"/>
      <c r="C42" s="42"/>
      <c r="E42" s="43">
        <f>SUM(E37)</f>
        <v>775000</v>
      </c>
      <c r="F42" s="44"/>
    </row>
    <row r="43" ht="15.75" customHeight="1">
      <c r="D43" s="45" t="s">
        <v>36</v>
      </c>
      <c r="E43" s="39">
        <f>SUM(E35,E42)</f>
        <v>8375000</v>
      </c>
    </row>
    <row r="44" ht="15.75" customHeight="1"/>
    <row r="45" ht="15.75" customHeight="1"/>
    <row r="46" ht="15.75" customHeight="1"/>
    <row r="47" ht="15.75" customHeight="1">
      <c r="A47" s="46" t="s">
        <v>88</v>
      </c>
      <c r="B47" s="2"/>
      <c r="C47" s="2"/>
      <c r="D47" s="2"/>
      <c r="E47" s="2"/>
      <c r="F47" s="3"/>
      <c r="H47" s="4" t="s">
        <v>88</v>
      </c>
      <c r="I47" s="2"/>
      <c r="J47" s="2"/>
      <c r="K47" s="2"/>
      <c r="L47" s="2"/>
      <c r="M47" s="3"/>
    </row>
    <row r="48" ht="15.75" customHeight="1">
      <c r="A48" s="5" t="s">
        <v>1</v>
      </c>
      <c r="B48" s="2"/>
      <c r="C48" s="2"/>
      <c r="D48" s="2"/>
      <c r="E48" s="2"/>
      <c r="F48" s="3"/>
      <c r="H48" s="5" t="s">
        <v>2</v>
      </c>
      <c r="I48" s="2"/>
      <c r="J48" s="2"/>
      <c r="K48" s="2"/>
      <c r="L48" s="2"/>
      <c r="M48" s="3"/>
    </row>
    <row r="49" ht="15.75" customHeight="1">
      <c r="A49" s="6" t="s">
        <v>3</v>
      </c>
      <c r="B49" s="2"/>
      <c r="C49" s="2"/>
      <c r="D49" s="3"/>
      <c r="E49" s="7" t="s">
        <v>4</v>
      </c>
      <c r="F49" s="7" t="s">
        <v>5</v>
      </c>
      <c r="H49" s="6" t="s">
        <v>3</v>
      </c>
      <c r="I49" s="2"/>
      <c r="J49" s="2"/>
      <c r="K49" s="2"/>
      <c r="L49" s="2"/>
      <c r="M49" s="3"/>
    </row>
    <row r="50" ht="33.0" customHeight="1">
      <c r="A50" s="8"/>
      <c r="B50" s="11" t="s">
        <v>6</v>
      </c>
      <c r="C50" s="3"/>
      <c r="D50" s="10" t="s">
        <v>7</v>
      </c>
      <c r="E50" s="9"/>
      <c r="F50" s="9"/>
      <c r="H50" s="8"/>
      <c r="I50" s="11" t="s">
        <v>8</v>
      </c>
      <c r="J50" s="2"/>
      <c r="K50" s="2"/>
      <c r="L50" s="2"/>
      <c r="M50" s="3"/>
    </row>
    <row r="51" ht="32.25" customHeight="1">
      <c r="A51" s="12"/>
      <c r="B51" s="13"/>
      <c r="C51" s="14" t="s">
        <v>9</v>
      </c>
      <c r="D51" s="15" t="s">
        <v>89</v>
      </c>
      <c r="E51" s="22">
        <v>1500000.0</v>
      </c>
      <c r="F51" s="17" t="s">
        <v>90</v>
      </c>
      <c r="H51" s="12"/>
      <c r="I51" s="13"/>
      <c r="J51" s="14" t="s">
        <v>9</v>
      </c>
      <c r="K51" s="18" t="s">
        <v>91</v>
      </c>
      <c r="L51" s="2"/>
      <c r="M51" s="3"/>
    </row>
    <row r="52" ht="93.75" customHeight="1">
      <c r="A52" s="12"/>
      <c r="B52" s="12"/>
      <c r="C52" s="14" t="s">
        <v>13</v>
      </c>
      <c r="D52" s="15" t="s">
        <v>14</v>
      </c>
      <c r="E52" s="22">
        <v>160000.0</v>
      </c>
      <c r="F52" s="17" t="s">
        <v>15</v>
      </c>
      <c r="H52" s="12"/>
      <c r="I52" s="12"/>
      <c r="J52" s="14" t="s">
        <v>13</v>
      </c>
      <c r="K52" s="18" t="s">
        <v>92</v>
      </c>
      <c r="L52" s="2"/>
      <c r="M52" s="3"/>
    </row>
    <row r="53" ht="45.0" customHeight="1">
      <c r="A53" s="12"/>
      <c r="B53" s="12"/>
      <c r="C53" s="14" t="s">
        <v>17</v>
      </c>
      <c r="D53" s="15" t="s">
        <v>69</v>
      </c>
      <c r="E53" s="22">
        <v>240000.0</v>
      </c>
      <c r="F53" s="17" t="s">
        <v>19</v>
      </c>
      <c r="H53" s="12"/>
      <c r="I53" s="12"/>
      <c r="J53" s="14" t="s">
        <v>17</v>
      </c>
      <c r="K53" s="18" t="s">
        <v>20</v>
      </c>
      <c r="L53" s="2"/>
      <c r="M53" s="3"/>
    </row>
    <row r="54" ht="45.0" customHeight="1">
      <c r="A54" s="12"/>
      <c r="B54" s="21"/>
      <c r="C54" s="14" t="s">
        <v>21</v>
      </c>
      <c r="D54" s="15" t="s">
        <v>93</v>
      </c>
      <c r="E54" s="22">
        <v>2500000.0</v>
      </c>
      <c r="F54" s="17" t="s">
        <v>94</v>
      </c>
      <c r="H54" s="12"/>
      <c r="I54" s="21"/>
      <c r="J54" s="14" t="s">
        <v>21</v>
      </c>
      <c r="K54" s="18" t="s">
        <v>95</v>
      </c>
      <c r="L54" s="2"/>
      <c r="M54" s="3"/>
    </row>
    <row r="55" ht="59.25" customHeight="1">
      <c r="A55" s="12"/>
      <c r="B55" s="11" t="s">
        <v>25</v>
      </c>
      <c r="C55" s="3"/>
      <c r="D55" s="15" t="s">
        <v>96</v>
      </c>
      <c r="E55" s="22">
        <v>2000000.0</v>
      </c>
      <c r="F55" s="17" t="s">
        <v>97</v>
      </c>
      <c r="H55" s="12"/>
      <c r="I55" s="11" t="s">
        <v>25</v>
      </c>
      <c r="J55" s="3"/>
      <c r="K55" s="18" t="s">
        <v>98</v>
      </c>
      <c r="L55" s="2"/>
      <c r="M55" s="3"/>
    </row>
    <row r="56" ht="26.25" customHeight="1">
      <c r="A56" s="21"/>
      <c r="B56" s="11" t="s">
        <v>29</v>
      </c>
      <c r="C56" s="3"/>
      <c r="D56" s="15" t="s">
        <v>99</v>
      </c>
      <c r="E56" s="22">
        <v>60000.0</v>
      </c>
      <c r="F56" s="17" t="s">
        <v>100</v>
      </c>
      <c r="H56" s="21"/>
      <c r="I56" s="11" t="s">
        <v>29</v>
      </c>
      <c r="J56" s="3"/>
      <c r="K56" s="18" t="s">
        <v>101</v>
      </c>
      <c r="L56" s="2"/>
      <c r="M56" s="3"/>
    </row>
    <row r="57" ht="15.75" customHeight="1">
      <c r="A57" s="6"/>
      <c r="B57" s="2"/>
      <c r="C57" s="3"/>
      <c r="D57" s="29" t="s">
        <v>36</v>
      </c>
      <c r="E57" s="30">
        <f>SUM(E51:E56)</f>
        <v>6460000</v>
      </c>
      <c r="F57" s="31"/>
      <c r="H57" s="31"/>
      <c r="I57" s="31"/>
      <c r="J57" s="31"/>
      <c r="K57" s="31"/>
      <c r="L57" s="31"/>
      <c r="M57" s="31"/>
    </row>
    <row r="58" ht="15.75" customHeight="1">
      <c r="A58" s="6" t="s">
        <v>37</v>
      </c>
      <c r="B58" s="2"/>
      <c r="C58" s="2"/>
      <c r="D58" s="2"/>
      <c r="E58" s="2"/>
      <c r="F58" s="3"/>
      <c r="H58" s="6" t="s">
        <v>37</v>
      </c>
      <c r="I58" s="2"/>
      <c r="J58" s="2"/>
      <c r="K58" s="2"/>
      <c r="L58" s="2"/>
      <c r="M58" s="3"/>
    </row>
    <row r="59" ht="54.75" customHeight="1">
      <c r="A59" s="13"/>
      <c r="B59" s="11" t="s">
        <v>38</v>
      </c>
      <c r="C59" s="3"/>
      <c r="D59" s="10" t="s">
        <v>102</v>
      </c>
      <c r="E59" s="22">
        <v>775000.0</v>
      </c>
      <c r="F59" s="17" t="s">
        <v>40</v>
      </c>
      <c r="H59" s="14"/>
      <c r="I59" s="11" t="s">
        <v>38</v>
      </c>
      <c r="J59" s="3"/>
      <c r="K59" s="18" t="s">
        <v>103</v>
      </c>
      <c r="L59" s="2"/>
      <c r="M59" s="3"/>
    </row>
    <row r="60" ht="15.75" customHeight="1">
      <c r="A60" s="12"/>
      <c r="B60" s="11" t="s">
        <v>42</v>
      </c>
      <c r="C60" s="3"/>
      <c r="D60" s="10" t="s">
        <v>43</v>
      </c>
      <c r="E60" s="10" t="s">
        <v>85</v>
      </c>
      <c r="F60" s="17" t="s">
        <v>44</v>
      </c>
      <c r="H60" s="14"/>
      <c r="I60" s="11" t="s">
        <v>45</v>
      </c>
      <c r="J60" s="3"/>
      <c r="K60" s="18" t="s">
        <v>104</v>
      </c>
      <c r="L60" s="2"/>
      <c r="M60" s="3"/>
    </row>
    <row r="61" ht="15.75" customHeight="1">
      <c r="A61" s="12"/>
      <c r="B61" s="11" t="s">
        <v>47</v>
      </c>
      <c r="C61" s="3"/>
      <c r="D61" s="10" t="s">
        <v>48</v>
      </c>
      <c r="E61" s="10" t="s">
        <v>85</v>
      </c>
      <c r="F61" s="17" t="s">
        <v>49</v>
      </c>
      <c r="H61" s="14"/>
      <c r="I61" s="11" t="s">
        <v>50</v>
      </c>
      <c r="J61" s="3"/>
      <c r="K61" s="18" t="s">
        <v>105</v>
      </c>
      <c r="L61" s="2"/>
      <c r="M61" s="3"/>
    </row>
    <row r="62" ht="28.5" customHeight="1">
      <c r="A62" s="12"/>
      <c r="B62" s="18" t="s">
        <v>52</v>
      </c>
      <c r="C62" s="3"/>
      <c r="D62" s="10" t="s">
        <v>53</v>
      </c>
      <c r="E62" s="10" t="s">
        <v>85</v>
      </c>
      <c r="F62" s="17" t="s">
        <v>54</v>
      </c>
    </row>
    <row r="63" ht="48.75" customHeight="1">
      <c r="A63" s="21"/>
      <c r="B63" s="11" t="s">
        <v>55</v>
      </c>
      <c r="C63" s="3"/>
      <c r="D63" s="10" t="s">
        <v>56</v>
      </c>
      <c r="E63" s="10" t="s">
        <v>85</v>
      </c>
      <c r="F63" s="17" t="s">
        <v>57</v>
      </c>
    </row>
    <row r="64" ht="15.75" customHeight="1">
      <c r="E64" s="37">
        <f>SUM(E59)</f>
        <v>775000</v>
      </c>
    </row>
    <row r="65" ht="15.75" customHeight="1">
      <c r="D65" s="38" t="s">
        <v>36</v>
      </c>
      <c r="E65" s="39">
        <f>SUM(E57,E64)</f>
        <v>7235000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08">
    <mergeCell ref="A4:A10"/>
    <mergeCell ref="B5:B8"/>
    <mergeCell ref="B9:C9"/>
    <mergeCell ref="B10:C10"/>
    <mergeCell ref="A12:C12"/>
    <mergeCell ref="A13:F13"/>
    <mergeCell ref="A14:A19"/>
    <mergeCell ref="B11:C11"/>
    <mergeCell ref="A35:C35"/>
    <mergeCell ref="A36:F36"/>
    <mergeCell ref="B34:C34"/>
    <mergeCell ref="B37:C37"/>
    <mergeCell ref="B38:C38"/>
    <mergeCell ref="B39:C39"/>
    <mergeCell ref="B18:C18"/>
    <mergeCell ref="B19:C19"/>
    <mergeCell ref="A28:A34"/>
    <mergeCell ref="B28:C28"/>
    <mergeCell ref="B29:B32"/>
    <mergeCell ref="B33:C33"/>
    <mergeCell ref="A37:A41"/>
    <mergeCell ref="B51:B54"/>
    <mergeCell ref="B55:C55"/>
    <mergeCell ref="B56:C56"/>
    <mergeCell ref="A57:C57"/>
    <mergeCell ref="A59:A63"/>
    <mergeCell ref="B59:C59"/>
    <mergeCell ref="B60:C60"/>
    <mergeCell ref="B61:C61"/>
    <mergeCell ref="B62:C62"/>
    <mergeCell ref="B63:C63"/>
    <mergeCell ref="B40:C40"/>
    <mergeCell ref="B41:C41"/>
    <mergeCell ref="A47:F47"/>
    <mergeCell ref="A48:F48"/>
    <mergeCell ref="A49:D49"/>
    <mergeCell ref="A50:A56"/>
    <mergeCell ref="B50:C50"/>
    <mergeCell ref="A58:F58"/>
    <mergeCell ref="K16:M16"/>
    <mergeCell ref="H25:M25"/>
    <mergeCell ref="H26:M26"/>
    <mergeCell ref="H27:M27"/>
    <mergeCell ref="I28:M28"/>
    <mergeCell ref="K29:M29"/>
    <mergeCell ref="K30:M30"/>
    <mergeCell ref="K31:M31"/>
    <mergeCell ref="K32:M32"/>
    <mergeCell ref="I33:J33"/>
    <mergeCell ref="K33:M33"/>
    <mergeCell ref="I34:J34"/>
    <mergeCell ref="K34:M34"/>
    <mergeCell ref="H36:M36"/>
    <mergeCell ref="H49:M49"/>
    <mergeCell ref="I50:M50"/>
    <mergeCell ref="I51:I54"/>
    <mergeCell ref="K51:M51"/>
    <mergeCell ref="K52:M52"/>
    <mergeCell ref="K53:M53"/>
    <mergeCell ref="K54:M54"/>
    <mergeCell ref="I55:J55"/>
    <mergeCell ref="K55:M55"/>
    <mergeCell ref="I56:J56"/>
    <mergeCell ref="K56:M56"/>
    <mergeCell ref="H58:M58"/>
    <mergeCell ref="I59:J59"/>
    <mergeCell ref="K59:M59"/>
    <mergeCell ref="I60:J60"/>
    <mergeCell ref="K60:M60"/>
    <mergeCell ref="I61:J61"/>
    <mergeCell ref="K61:M61"/>
    <mergeCell ref="I38:J38"/>
    <mergeCell ref="K38:M38"/>
    <mergeCell ref="I39:J39"/>
    <mergeCell ref="K39:M39"/>
    <mergeCell ref="H47:M47"/>
    <mergeCell ref="H48:M48"/>
    <mergeCell ref="H50:H56"/>
    <mergeCell ref="A1:F1"/>
    <mergeCell ref="H1:M1"/>
    <mergeCell ref="A2:F2"/>
    <mergeCell ref="H2:M2"/>
    <mergeCell ref="A3:D3"/>
    <mergeCell ref="H3:M3"/>
    <mergeCell ref="I4:M4"/>
    <mergeCell ref="K5:M5"/>
    <mergeCell ref="K6:M6"/>
    <mergeCell ref="K7:M7"/>
    <mergeCell ref="K8:M8"/>
    <mergeCell ref="I9:J9"/>
    <mergeCell ref="K9:M9"/>
    <mergeCell ref="I10:J10"/>
    <mergeCell ref="B14:C14"/>
    <mergeCell ref="B15:C15"/>
    <mergeCell ref="B16:C16"/>
    <mergeCell ref="B17:C17"/>
    <mergeCell ref="K10:M10"/>
    <mergeCell ref="H13:M13"/>
    <mergeCell ref="I14:J14"/>
    <mergeCell ref="K14:M14"/>
    <mergeCell ref="I15:J15"/>
    <mergeCell ref="K15:M15"/>
    <mergeCell ref="I16:J16"/>
    <mergeCell ref="A25:F25"/>
    <mergeCell ref="A26:F26"/>
    <mergeCell ref="A27:D27"/>
    <mergeCell ref="I37:J37"/>
    <mergeCell ref="K37:M37"/>
  </mergeCells>
  <hyperlinks>
    <hyperlink r:id="rId1" ref="F5"/>
    <hyperlink r:id="rId2" location="polycard_client=search-nordic&amp;search_layout=stack&amp;position=3&amp;type=product&amp;tracking_id=da3532a6-2981-4430-94cc-b1ce33dc7893&amp;wid=MCO2656031098&amp;sid=search" ref="F6"/>
    <hyperlink r:id="rId3" location="polycard_client=search-nordic&amp;search_layout=stack&amp;position=23&amp;type=product&amp;tracking_id=97df67b7-6c5e-4672-a43c-f1da2dfabdfa&amp;wid=MCO2923060394&amp;sid=search" ref="F7"/>
    <hyperlink r:id="rId4" location="polycard_client=search-nordic&amp;search_layout=stack&amp;position=2&amp;type=product&amp;tracking_id=4efe3e4d-1b6e-4744-91a5-2d3dac737331&amp;wid=MCO1537147485&amp;sid=search" ref="F8"/>
    <hyperlink r:id="rId5" ref="F9"/>
    <hyperlink r:id="rId6" ref="F10"/>
    <hyperlink r:id="rId7" location="polycard_client=search-nordic&amp;search_layout=stack&amp;position=1&amp;type=product&amp;tracking_id=bf2af576-c1b3-4920-8095-0fc7fb0d12de&amp;wid=MCO1581322799&amp;sid=search" ref="F11"/>
    <hyperlink r:id="rId8" ref="F14"/>
    <hyperlink r:id="rId9" ref="F15"/>
    <hyperlink r:id="rId10" ref="F16"/>
    <hyperlink r:id="rId11" ref="F17"/>
    <hyperlink r:id="rId12" ref="F18"/>
    <hyperlink r:id="rId13" ref="F19"/>
    <hyperlink r:id="rId14" ref="F29"/>
    <hyperlink r:id="rId15" location="polycard_client=search-nordic&amp;search_layout=stack&amp;position=3&amp;type=product&amp;tracking_id=3534015c-b12f-41d9-a4d0-2f33313fcf71&amp;wid=MCO3022893826&amp;sid=search" ref="F30"/>
    <hyperlink r:id="rId16" location="polycard_client=search-nordic&amp;search_layout=stack&amp;position=3&amp;type=product&amp;tracking_id=120ec24c-b548-4807-a96d-f6abe98d8fbb&amp;wid=MCO1311550729&amp;sid=search" ref="F31"/>
    <hyperlink r:id="rId17" location="polycard_client=search-nordic&amp;search_layout=stack&amp;position=8&amp;type=product&amp;tracking_id=ae80694c-0e37-4307-b90d-b243ff634a84&amp;wid=MCO3094010442&amp;sid=search" ref="F32"/>
    <hyperlink r:id="rId18" ref="F33"/>
    <hyperlink r:id="rId19" ref="F34"/>
    <hyperlink r:id="rId20" ref="F37"/>
    <hyperlink r:id="rId21" ref="F38"/>
    <hyperlink r:id="rId22" ref="F39"/>
    <hyperlink r:id="rId23" ref="F40"/>
    <hyperlink r:id="rId24" ref="F41"/>
    <hyperlink r:id="rId25" ref="F51"/>
    <hyperlink r:id="rId26" location="polycard_client=search-nordic&amp;search_layout=stack&amp;position=3&amp;type=product&amp;tracking_id=da3532a6-2981-4430-94cc-b1ce33dc7893&amp;wid=MCO2656031098&amp;sid=search" ref="F52"/>
    <hyperlink r:id="rId27" location="polycard_client=search-nordic&amp;search_layout=stack&amp;position=23&amp;type=product&amp;tracking_id=97df67b7-6c5e-4672-a43c-f1da2dfabdfa&amp;wid=MCO2923060394&amp;sid=search" ref="F53"/>
    <hyperlink r:id="rId28" ref="F54"/>
    <hyperlink r:id="rId29" ref="F55"/>
    <hyperlink r:id="rId30" ref="F56"/>
    <hyperlink r:id="rId31" ref="F59"/>
    <hyperlink r:id="rId32" ref="F60"/>
    <hyperlink r:id="rId33" ref="F61"/>
    <hyperlink r:id="rId34" ref="F62"/>
    <hyperlink r:id="rId35" ref="F63"/>
  </hyperlinks>
  <printOptions/>
  <pageMargins bottom="0.75" footer="0.0" header="0.0" left="0.7" right="0.7" top="0.75"/>
  <pageSetup orientation="portrait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3" width="23.75"/>
    <col customWidth="1" min="4" max="4" width="21.13"/>
    <col customWidth="1" min="5" max="5" width="51.75"/>
    <col customWidth="1" min="6" max="6" width="28.25"/>
    <col customWidth="1" min="7" max="7" width="25.75"/>
    <col customWidth="1" min="8" max="8" width="23.0"/>
    <col customWidth="1" min="9" max="9" width="20.75"/>
    <col customWidth="1" min="10" max="26" width="11.38"/>
  </cols>
  <sheetData>
    <row r="2">
      <c r="B2" s="47" t="s">
        <v>106</v>
      </c>
      <c r="C2" s="2"/>
      <c r="D2" s="2"/>
      <c r="E2" s="2"/>
      <c r="F2" s="2"/>
      <c r="G2" s="2"/>
      <c r="H2" s="3"/>
    </row>
    <row r="3">
      <c r="B3" s="14" t="s">
        <v>107</v>
      </c>
      <c r="C3" s="14" t="s">
        <v>108</v>
      </c>
      <c r="D3" s="14" t="s">
        <v>109</v>
      </c>
      <c r="E3" s="14" t="s">
        <v>110</v>
      </c>
      <c r="F3" s="14" t="s">
        <v>111</v>
      </c>
      <c r="G3" s="14" t="s">
        <v>112</v>
      </c>
      <c r="H3" s="14" t="s">
        <v>113</v>
      </c>
      <c r="I3" s="14" t="s">
        <v>114</v>
      </c>
    </row>
    <row r="4" ht="56.25" customHeight="1">
      <c r="B4" s="28" t="s">
        <v>115</v>
      </c>
      <c r="C4" s="27" t="s">
        <v>116</v>
      </c>
      <c r="D4" s="27" t="s">
        <v>117</v>
      </c>
      <c r="E4" s="28" t="s">
        <v>118</v>
      </c>
      <c r="F4" s="28" t="s">
        <v>119</v>
      </c>
      <c r="G4" s="48">
        <v>4.0</v>
      </c>
      <c r="H4" s="49">
        <v>4000000.0</v>
      </c>
      <c r="I4" s="50">
        <f t="shared" ref="I4:I6" si="1">(G4*H4)</f>
        <v>16000000</v>
      </c>
    </row>
    <row r="5" ht="88.5" customHeight="1">
      <c r="B5" s="28" t="s">
        <v>120</v>
      </c>
      <c r="C5" s="27" t="s">
        <v>121</v>
      </c>
      <c r="D5" s="27" t="s">
        <v>122</v>
      </c>
      <c r="E5" s="28" t="s">
        <v>123</v>
      </c>
      <c r="F5" s="28" t="s">
        <v>124</v>
      </c>
      <c r="G5" s="48">
        <v>3.0</v>
      </c>
      <c r="H5" s="49">
        <v>3500000.0</v>
      </c>
      <c r="I5" s="50">
        <f t="shared" si="1"/>
        <v>10500000</v>
      </c>
    </row>
    <row r="6" ht="52.5" customHeight="1">
      <c r="B6" s="27" t="s">
        <v>125</v>
      </c>
      <c r="C6" s="27" t="s">
        <v>126</v>
      </c>
      <c r="D6" s="27" t="s">
        <v>127</v>
      </c>
      <c r="E6" s="28" t="s">
        <v>128</v>
      </c>
      <c r="F6" s="51" t="s">
        <v>129</v>
      </c>
      <c r="G6" s="48">
        <v>3.0</v>
      </c>
      <c r="H6" s="49">
        <v>3500000.0</v>
      </c>
      <c r="I6" s="50">
        <f t="shared" si="1"/>
        <v>10500000</v>
      </c>
    </row>
    <row r="7">
      <c r="H7" s="38" t="s">
        <v>36</v>
      </c>
      <c r="I7" s="52">
        <f>SUM(I4:I6)</f>
        <v>37000000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1.5"/>
    <col customWidth="1" min="4" max="4" width="36.25"/>
    <col customWidth="1" min="5" max="5" width="31.5"/>
    <col customWidth="1" min="7" max="7" width="23.88"/>
  </cols>
  <sheetData>
    <row r="1">
      <c r="B1" s="53"/>
      <c r="C1" s="53"/>
      <c r="D1" s="53"/>
      <c r="E1" s="53"/>
    </row>
    <row r="2">
      <c r="B2" s="54" t="s">
        <v>130</v>
      </c>
      <c r="C2" s="2"/>
      <c r="D2" s="2"/>
      <c r="E2" s="3"/>
    </row>
    <row r="3">
      <c r="B3" s="38" t="s">
        <v>131</v>
      </c>
      <c r="C3" s="38" t="s">
        <v>132</v>
      </c>
      <c r="D3" s="38" t="s">
        <v>133</v>
      </c>
      <c r="E3" s="38" t="s">
        <v>5</v>
      </c>
    </row>
    <row r="4">
      <c r="B4" s="55" t="s">
        <v>134</v>
      </c>
      <c r="C4" s="56">
        <v>172800.0</v>
      </c>
      <c r="D4" s="57" t="s">
        <v>135</v>
      </c>
      <c r="E4" s="58" t="s">
        <v>136</v>
      </c>
      <c r="G4" s="59" t="s">
        <v>137</v>
      </c>
    </row>
    <row r="5">
      <c r="B5" s="60" t="s">
        <v>138</v>
      </c>
      <c r="C5" s="56">
        <v>162204.0</v>
      </c>
      <c r="D5" s="57" t="s">
        <v>139</v>
      </c>
      <c r="E5" s="61" t="s">
        <v>140</v>
      </c>
    </row>
    <row r="6">
      <c r="B6" s="21"/>
      <c r="C6" s="62">
        <v>570012.0</v>
      </c>
      <c r="D6" s="63" t="s">
        <v>141</v>
      </c>
      <c r="E6" s="21"/>
    </row>
  </sheetData>
  <mergeCells count="3">
    <mergeCell ref="B2:E2"/>
    <mergeCell ref="B5:B6"/>
    <mergeCell ref="E5:E6"/>
  </mergeCells>
  <hyperlinks>
    <hyperlink r:id="rId1" ref="B4"/>
    <hyperlink r:id="rId2" ref="E4"/>
    <hyperlink r:id="rId3" ref="E5"/>
  </hyperlinks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2025-08-27T15:05:47Z</dcterms:created>
  <dc:creator>Juan Pablo Chala Ramirez</dc:creator>
</cp:coreProperties>
</file>