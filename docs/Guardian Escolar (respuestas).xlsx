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8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mith\Desktop\Guardian Escolar\"/>
    </mc:Choice>
  </mc:AlternateContent>
  <xr:revisionPtr revIDLastSave="0" documentId="13_ncr:1_{DEDA4E25-BFA4-4BDA-88D9-F4B697A0A3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ados Guardian Escolar" sheetId="1" r:id="rId1"/>
    <sheet name="Tipo de encuestado" sheetId="2" r:id="rId2"/>
    <sheet name="¿Qué tan importante considera l" sheetId="3" r:id="rId3"/>
    <sheet name="Si usted como padre pudiera ver" sheetId="4" r:id="rId4"/>
    <sheet name="¿Cuáles beneficios cree que apo" sheetId="5" r:id="rId5"/>
    <sheet name="Suponga que la plataforma le no" sheetId="6" r:id="rId6"/>
    <sheet name="¿Qué funciones te parecen útile" sheetId="7" r:id="rId7"/>
    <sheet name="¿Desde dónde preferirías usar l" sheetId="8" r:id="rId8"/>
    <sheet name="¿Qué tan confiable y segura con" sheetId="9" r:id="rId9"/>
    <sheet name="¿Usas frecuentemente o utilizas" sheetId="10" r:id="rId10"/>
    <sheet name="¿Te gustaría ser parte de una p" sheetId="11" r:id="rId11"/>
  </sheets>
  <definedNames>
    <definedName name="_xlnm._FilterDatabase" localSheetId="4" hidden="1">'¿Cuáles beneficios cree que apo'!$A$3:$B$3</definedName>
    <definedName name="_xlnm._FilterDatabase" localSheetId="6" hidden="1">'¿Qué funciones te parecen útile'!$A$3:$B$9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  <pivotCache cacheId="6" r:id="rId18"/>
    <pivotCache cacheId="7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7" i="1" l="1"/>
  <c r="D36" i="1"/>
  <c r="D35" i="1"/>
  <c r="D33" i="1"/>
  <c r="D34" i="1"/>
  <c r="E36" i="1"/>
  <c r="E35" i="1"/>
  <c r="E34" i="1"/>
  <c r="E33" i="1"/>
  <c r="F35" i="1"/>
  <c r="F34" i="1"/>
  <c r="F33" i="1"/>
  <c r="G36" i="1"/>
  <c r="G35" i="1"/>
  <c r="G34" i="1"/>
  <c r="G33" i="1"/>
  <c r="B34" i="1"/>
  <c r="B33" i="1"/>
  <c r="H38" i="1"/>
  <c r="H37" i="1"/>
  <c r="H36" i="1"/>
  <c r="H35" i="1"/>
  <c r="H34" i="1"/>
  <c r="H33" i="1"/>
  <c r="I33" i="1"/>
  <c r="I34" i="1"/>
  <c r="I35" i="1"/>
  <c r="I36" i="1"/>
  <c r="J37" i="1"/>
  <c r="J36" i="1"/>
  <c r="J35" i="1"/>
  <c r="J34" i="1"/>
  <c r="J33" i="1"/>
  <c r="K36" i="1"/>
  <c r="K35" i="1"/>
  <c r="K34" i="1"/>
  <c r="M35" i="1"/>
  <c r="M34" i="1"/>
  <c r="M33" i="1"/>
  <c r="K33" i="1"/>
</calcChain>
</file>

<file path=xl/sharedStrings.xml><?xml version="1.0" encoding="utf-8"?>
<sst xmlns="http://schemas.openxmlformats.org/spreadsheetml/2006/main" count="431" uniqueCount="146">
  <si>
    <t>Marca temporal</t>
  </si>
  <si>
    <t>Tipo de encuestado</t>
  </si>
  <si>
    <t>Nombre completo</t>
  </si>
  <si>
    <t xml:space="preserve">¿Qué tan importante considera la posibilidad de conocer en tiempo real la ubicación del transporte escolar? </t>
  </si>
  <si>
    <t xml:space="preserve">Si usted como padre pudiera ver en su celular la ubicación exacta del bus escolar en tiempo real, ¿con qué frecuencia lo consultaría?  </t>
  </si>
  <si>
    <t xml:space="preserve">¿Cuáles beneficios cree que aportaría Guardian Escolar para usted y su familia? (Puede seleccionar más de una opción)  </t>
  </si>
  <si>
    <t xml:space="preserve">Suponga que la plataforma le notifica cuando su hijo sube o baja del bus. ¿Qué tan útil considera esta función?  </t>
  </si>
  <si>
    <t xml:space="preserve">¿Qué funciones te parecen útiles en una plataforma de este tipo? (marca las que consideres importantes) </t>
  </si>
  <si>
    <t xml:space="preserve">¿Desde dónde preferirías usar la plataforma? </t>
  </si>
  <si>
    <t xml:space="preserve">¿Qué tan confiable y segura considera que debe ser esta plataforma respecto a la privacidad y protección de datos? </t>
  </si>
  <si>
    <t xml:space="preserve">¿Usas frecuentemente o utilizaste aplicaciones para la escuela, comunicación o transporte? </t>
  </si>
  <si>
    <t xml:space="preserve">¿Qué sugerencias o ideas aportarías para mejorar este proyecto?  </t>
  </si>
  <si>
    <t xml:space="preserve">  ¿Te gustaría ser parte de una prueba piloto del sistema?  </t>
  </si>
  <si>
    <t>Estudiante</t>
  </si>
  <si>
    <t xml:space="preserve">maria de los angeles olaya garcia </t>
  </si>
  <si>
    <t>Moderadamente importante</t>
  </si>
  <si>
    <t>A diario</t>
  </si>
  <si>
    <t>Mayor tranquilidad y seguridad</t>
  </si>
  <si>
    <t>Muy útil</t>
  </si>
  <si>
    <t>Ver la ubicación del bus en tiempo real, Saber si el bus está retrasado, Comunicación directa con el conductor o acudiente, Historial de recorridos</t>
  </si>
  <si>
    <t>Aplicación móvil</t>
  </si>
  <si>
    <t>Esencial que sea extremadamente segura</t>
  </si>
  <si>
    <t>Sí</t>
  </si>
  <si>
    <t xml:space="preserve">que tenga acceso a numeros de contacto en caso de emergencias </t>
  </si>
  <si>
    <t>Si</t>
  </si>
  <si>
    <t>Jhon Jairo Cortez VArgas</t>
  </si>
  <si>
    <t>Solo cuando el bus se retrase</t>
  </si>
  <si>
    <t>Útil</t>
  </si>
  <si>
    <t>Ver la ubicación del bus en tiempo real, Saber si el bus está retrasado, Historial de recorridos, Registro de rutas pasadas</t>
  </si>
  <si>
    <t>Muy confiable</t>
  </si>
  <si>
    <t>Algunas veces</t>
  </si>
  <si>
    <t>Que en caso de emergencias se pueda llamar a la policia, bomberos o hospitales desde la app</t>
  </si>
  <si>
    <t>Juan David Arboleda Perdomo</t>
  </si>
  <si>
    <t>Muy importante</t>
  </si>
  <si>
    <t>Mayor tranquilidad y seguridad, Mejor organización de tiempos al saber el momento exacto de llegada, Reducción de preocupación por retrasos o imprevistos</t>
  </si>
  <si>
    <t>Ver la ubicación del bus en tiempo real, Historial de recorridos, Registro de rutas pasadas, Integración con el calendario escolar</t>
  </si>
  <si>
    <t>Rara vez</t>
  </si>
  <si>
    <t>Que cuando notifique que mi hijo dejo el bus suene bachata</t>
  </si>
  <si>
    <t>JUAN ESTEBAN OME</t>
  </si>
  <si>
    <t>Mayor tranquilidad y seguridad, Reducción de preocupación por retrasos o imprevistos</t>
  </si>
  <si>
    <t>Ver la ubicación del bus en tiempo real, Comunicación directa con el conductor o acudiente, Integración con el calendario escolar</t>
  </si>
  <si>
    <t>Ambas</t>
  </si>
  <si>
    <t>Nunca</t>
  </si>
  <si>
    <t>IMPLEMENTAR RUTA ESCOLAR</t>
  </si>
  <si>
    <t>Tal vez</t>
  </si>
  <si>
    <t>Diego Andrés Gutiérrez Nuñez</t>
  </si>
  <si>
    <t>Confiable</t>
  </si>
  <si>
    <t>q cuando mi hijo se baje del bus, pongamos alertas personalizadas como phonksito</t>
  </si>
  <si>
    <t xml:space="preserve">Keneth Santiago Rubiano Silva </t>
  </si>
  <si>
    <t>Mayor tranquilidad y seguridad, Mejor organización de tiempos al saber el momento exacto de llegada</t>
  </si>
  <si>
    <t>Poco útil</t>
  </si>
  <si>
    <t>Historial de recorridos</t>
  </si>
  <si>
    <t>Medianamente confiable</t>
  </si>
  <si>
    <t>Ninguna</t>
  </si>
  <si>
    <t xml:space="preserve">Juan mauricio suaza solorzano </t>
  </si>
  <si>
    <t>Poco importante</t>
  </si>
  <si>
    <t>Reducción de preocupación por retrasos o imprevistos</t>
  </si>
  <si>
    <t>Ver la ubicación del bus en tiempo real, Registro de rutas pasadas, Integración con el calendario escolar</t>
  </si>
  <si>
    <t xml:space="preserve">Ninguna </t>
  </si>
  <si>
    <t>juan david cabrera caballero</t>
  </si>
  <si>
    <t>Ver la ubicación del bus en tiempo real, Comunicación directa con el conductor o acudiente, Historial de recorridos</t>
  </si>
  <si>
    <t>ninguna</t>
  </si>
  <si>
    <t>juan camilo fierro esquivel</t>
  </si>
  <si>
    <t>Fundamental</t>
  </si>
  <si>
    <t>Ver la ubicación del bus en tiempo real, Historial de recorridos</t>
  </si>
  <si>
    <t>una sugerencia seria que la aplicacion mandara notificaciones de ves en cuando</t>
  </si>
  <si>
    <t xml:space="preserve">Luis Alejandro </t>
  </si>
  <si>
    <t>Saber si el bus está retrasado, Comunicación directa con el conductor o acudiente, Historial de recorridos</t>
  </si>
  <si>
    <t>Página web</t>
  </si>
  <si>
    <t>Poco confiable</t>
  </si>
  <si>
    <t xml:space="preserve">Que respete la privacidad </t>
  </si>
  <si>
    <t>No</t>
  </si>
  <si>
    <t xml:space="preserve">Juan Camilo Guilombo Osorio </t>
  </si>
  <si>
    <t>Saber si el bus está retrasado, Comunicación directa con el conductor o acudiente, Historial de recorridos, Registro de rutas pasadas</t>
  </si>
  <si>
    <t xml:space="preserve">Que funcione sin internet </t>
  </si>
  <si>
    <t xml:space="preserve">Brayan Estiven Patiño Cabrera </t>
  </si>
  <si>
    <t>Ver la ubicación del bus en tiempo real, Historial de recorridos, Registro de rutas pasadas</t>
  </si>
  <si>
    <t>Ninguna, muy bien</t>
  </si>
  <si>
    <t>Miguel Angel Garcia Artunduaga</t>
  </si>
  <si>
    <t>Ver la ubicación del bus en tiempo real, Historial de recorridos, Integración con el calendario escolar</t>
  </si>
  <si>
    <t>Nose</t>
  </si>
  <si>
    <t xml:space="preserve">Daniel Alejandro Mora Plata </t>
  </si>
  <si>
    <t>Nada importante</t>
  </si>
  <si>
    <t>Ninguna, está bien</t>
  </si>
  <si>
    <t>Nicole  Dayana Ramirez Vargas</t>
  </si>
  <si>
    <t>Ver la ubicación del bus en tiempo real</t>
  </si>
  <si>
    <t>niguna</t>
  </si>
  <si>
    <t>jose sebastian suarez cumaco</t>
  </si>
  <si>
    <t>Innecesaria</t>
  </si>
  <si>
    <t>Historial de recorridos, Registro de rutas pasadas, Integración con el calendario escolar</t>
  </si>
  <si>
    <t>esta bien asi</t>
  </si>
  <si>
    <t>juan esteban acosta ardila</t>
  </si>
  <si>
    <t>Ver la ubicación del bus en tiempo real, Saber si el bus está retrasado, Registro de rutas pasadas</t>
  </si>
  <si>
    <t>que sea practica</t>
  </si>
  <si>
    <t>Juan Manuel Gomez Suarez</t>
  </si>
  <si>
    <t>Ver la ubicación del bus en tiempo real, Saber si el bus está retrasado, Comunicación directa con el conductor o acudiente</t>
  </si>
  <si>
    <t xml:space="preserve">ninguna, me parece que tiene todo </t>
  </si>
  <si>
    <t xml:space="preserve">Thiago Fabian Rojas Guevara </t>
  </si>
  <si>
    <t>Ver la ubicación del bus en tiempo real, Comunicación directa con el conductor o acudiente</t>
  </si>
  <si>
    <t>Esta perfecta</t>
  </si>
  <si>
    <t xml:space="preserve">Johan Felipe Repizo Aguirre </t>
  </si>
  <si>
    <t>Ver la ubicación del bus en tiempo real, Saber si el bus está retrasado, Historial de recorridos</t>
  </si>
  <si>
    <t xml:space="preserve">Juan Esteban Cortes Parra </t>
  </si>
  <si>
    <t xml:space="preserve">Pues solo que fuera que tenga buen rendimiento </t>
  </si>
  <si>
    <t xml:space="preserve">David Santiago Erez Rodriguez </t>
  </si>
  <si>
    <t>Ver la ubicación del bus en tiempo real, Saber si el bus está retrasado</t>
  </si>
  <si>
    <t xml:space="preserve">Que tanga servicios especiales para las escuelas </t>
  </si>
  <si>
    <t>Jonattan Steven Rizo Solano</t>
  </si>
  <si>
    <t>Por ahora ninguno</t>
  </si>
  <si>
    <t xml:space="preserve">Johan Sebastián Yucumá Molano </t>
  </si>
  <si>
    <t>Mejor organización de tiempos al saber el momento exacto de llegada</t>
  </si>
  <si>
    <t>Que aparte de rutas escolares también muestre los desastres naturales que probablemente interferirian con la ruta</t>
  </si>
  <si>
    <t xml:space="preserve">Justin Daniela Bahamon </t>
  </si>
  <si>
    <t xml:space="preserve">Que te notifique si algo anda mal </t>
  </si>
  <si>
    <t xml:space="preserve">Yully Katherine Díaz Salas </t>
  </si>
  <si>
    <t>Comunicación directa con el conductor o acudiente</t>
  </si>
  <si>
    <t xml:space="preserve">No tengo sugerencias </t>
  </si>
  <si>
    <t xml:space="preserve">Willianni Godín Pérez </t>
  </si>
  <si>
    <t>Realizar una encuesta cada trimestre para los estudiantes y padres, y así poder saber cómo se sienten y qué sugerencias tienen</t>
  </si>
  <si>
    <t>Padre / Madre / Acudiente</t>
  </si>
  <si>
    <t xml:space="preserve">Kelly Yohana Ramirez Morales </t>
  </si>
  <si>
    <t>Ver la ubicación del bus en tiempo real, Saber si el bus está retrasado, Comunicación directa con el conductor o acudiente, Historial de recorridos, Registro de rutas pasadas, Integración con el calendario escolar</t>
  </si>
  <si>
    <t>Juan esteban rojas ibarra</t>
  </si>
  <si>
    <t>Crear cuentas aparte de cada recorrido</t>
  </si>
  <si>
    <t>JUAN PABLO ROJAS</t>
  </si>
  <si>
    <t>Ver la ubicación del bus en tiempo real, Saber si el bus está retrasado, Comunicación directa con el conductor o acudiente, Historial de recorridos, Integración con el calendario escolar</t>
  </si>
  <si>
    <t>Que sea de fácil uso y la compatibilidad en móviles sea para Androide y Iphone</t>
  </si>
  <si>
    <t>Cuenta de Tipo de encuestado</t>
  </si>
  <si>
    <t xml:space="preserve">Cuenta de ¿Qué tan importante considera la posibilidad de conocer en tiempo real la ubicación del transporte escolar? </t>
  </si>
  <si>
    <t xml:space="preserve">Cuenta de Si usted como padre pudiera ver en su celular la ubicación exacta del bus escolar en tiempo real, ¿con qué frecuencia lo consultaría?  </t>
  </si>
  <si>
    <t xml:space="preserve">Cuenta de Suponga que la plataforma le notifica cuando su hijo sube o baja del bus. ¿Qué tan útil considera esta función?  </t>
  </si>
  <si>
    <t xml:space="preserve">Cuenta de ¿Desde dónde preferirías usar la plataforma? </t>
  </si>
  <si>
    <t xml:space="preserve">Cuenta de ¿Qué tan confiable y segura considera que debe ser esta plataforma respecto a la privacidad y protección de datos? </t>
  </si>
  <si>
    <t xml:space="preserve">Cuenta de ¿Usas frecuentemente o utilizaste aplicaciones para la escuela, comunicación o transporte? </t>
  </si>
  <si>
    <t xml:space="preserve">Cuenta de   ¿Te gustaría ser parte de una prueba piloto del sistema?  </t>
  </si>
  <si>
    <t>¿Cuáles beneficios cree que aportaría Guardian Escolar para usted y su familia? (Puede seleccionar más de una opción)</t>
  </si>
  <si>
    <t>Mejor organización de tiempos alsaber el momento exacto dellegada</t>
  </si>
  <si>
    <t>Reducción de preocupación porretrasos o imprevistos</t>
  </si>
  <si>
    <t>Cuenta de ¿Cuáles beneficios cree que aportaría Guardian Escolar para usted y su familia? (Puede seleccionar más de una opción)</t>
  </si>
  <si>
    <t>¿Qué funciones te parecen útiles en una plataforma de este tipo? (marca las que consideres importantes)</t>
  </si>
  <si>
    <t>Cuenta de ¿Qué funciones te parecen útiles en una plataforma de este tipo? (marca las que consideres importantes)</t>
  </si>
  <si>
    <t>Ver la ubicación del bus entiempo real</t>
  </si>
  <si>
    <t>Saber si el bus está retrasado</t>
  </si>
  <si>
    <t>Comunicación directa con elconductor o acudiente</t>
  </si>
  <si>
    <t>Registro de rutas pasadas</t>
  </si>
  <si>
    <t>Integración con el calendarioescolar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</si>
</sst>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202124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3" xfId="0" applyBorder="1"/>
    <xf numFmtId="0" fontId="0" fillId="0" borderId="13" xfId="0" pivotButton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4" xfId="0" applyBorder="1" applyAlignment="1">
      <alignment horizontal="center"/>
    </xf>
    <xf numFmtId="0" fontId="0" fillId="0" borderId="14" xfId="0" applyNumberFormat="1" applyBorder="1"/>
    <xf numFmtId="0" fontId="0" fillId="0" borderId="18" xfId="0" applyNumberFormat="1" applyBorder="1"/>
    <xf numFmtId="0" fontId="0" fillId="0" borderId="16" xfId="0" applyNumberFormat="1" applyBorder="1"/>
    <xf numFmtId="0" fontId="0" fillId="0" borderId="20" xfId="0" applyBorder="1"/>
    <xf numFmtId="0" fontId="0" fillId="0" borderId="21" xfId="0" applyBorder="1"/>
    <xf numFmtId="0" fontId="2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2" fillId="0" borderId="23" xfId="0" applyFont="1" applyBorder="1"/>
    <xf numFmtId="0" fontId="3" fillId="0" borderId="24" xfId="0" applyFont="1" applyBorder="1"/>
    <xf numFmtId="164" fontId="1" fillId="0" borderId="4" xfId="0" applyNumberFormat="1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164" fontId="1" fillId="0" borderId="7" xfId="0" applyNumberFormat="1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164" fontId="1" fillId="0" borderId="10" xfId="0" applyNumberFormat="1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3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/>
    </dxf>
    <dxf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  <alignment horizontal="center" vertical="top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32"/>
      <tableStyleElement type="firstRowStripe" dxfId="31"/>
      <tableStyleElement type="secondRowStripe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[Guardian Escolar (respuestas).xlsx]Tipo de encuestado!TablaDinámica5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Cuenta de Tipo de encuestado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'Tipo de encuestado'!$B$3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'Tipo de encuestado'!$A$4:$A$5</c:f>
              <c:strCache>
                <c:ptCount val="2"/>
                <c:pt idx="0">
                  <c:v>Estudiante</c:v>
                </c:pt>
                <c:pt idx="1">
                  <c:v>Padre / Madre / Acudiente</c:v>
                </c:pt>
              </c:strCache>
            </c:strRef>
          </c:cat>
          <c:val>
            <c:numRef>
              <c:f>'Tipo de encuestado'!$B$4:$B$5</c:f>
              <c:numCache>
                <c:formatCode>General</c:formatCode>
                <c:ptCount val="2"/>
                <c:pt idx="0">
                  <c:v>27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4-4405-9D97-64A4CA60A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7380096"/>
        <c:axId val="1037397856"/>
      </c:barChart>
      <c:catAx>
        <c:axId val="103738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7397856"/>
        <c:crosses val="autoZero"/>
        <c:auto val="1"/>
        <c:lblAlgn val="ctr"/>
        <c:lblOffset val="100"/>
        <c:noMultiLvlLbl val="0"/>
      </c:catAx>
      <c:valAx>
        <c:axId val="103739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738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[Guardian Escolar (respuestas).xlsx]¿Qué tan importante considera l!TablaDinámica10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Cuenta de ¿Qué tan importante considera la posibilidad de conocer en tiempo real la ubicación del transporte escolar?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'¿Qué tan importante considera 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'¿Qué tan importante considera l'!$A$4:$A$8</c:f>
              <c:strCache>
                <c:ptCount val="5"/>
                <c:pt idx="0">
                  <c:v>Fundamental</c:v>
                </c:pt>
                <c:pt idx="1">
                  <c:v>Moderadamente importante</c:v>
                </c:pt>
                <c:pt idx="2">
                  <c:v>Muy importante</c:v>
                </c:pt>
                <c:pt idx="3">
                  <c:v>Nada importante</c:v>
                </c:pt>
                <c:pt idx="4">
                  <c:v>Poco importante</c:v>
                </c:pt>
              </c:strCache>
            </c:strRef>
          </c:cat>
          <c:val>
            <c:numRef>
              <c:f>'¿Qué tan importante considera l'!$B$4:$B$8</c:f>
              <c:numCache>
                <c:formatCode>General</c:formatCode>
                <c:ptCount val="5"/>
                <c:pt idx="0">
                  <c:v>8</c:v>
                </c:pt>
                <c:pt idx="1">
                  <c:v>11</c:v>
                </c:pt>
                <c:pt idx="2">
                  <c:v>8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F-4AE2-8A48-D43FEC0F9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7380576"/>
        <c:axId val="1037389216"/>
      </c:barChart>
      <c:catAx>
        <c:axId val="1037380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7389216"/>
        <c:crosses val="autoZero"/>
        <c:auto val="1"/>
        <c:lblAlgn val="ctr"/>
        <c:lblOffset val="100"/>
        <c:noMultiLvlLbl val="0"/>
      </c:catAx>
      <c:valAx>
        <c:axId val="103738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738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[Guardian Escolar (respuestas).xlsx]Si usted como padre pudiera ver!TablaDinámica15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Cuenta de Si usted como padre pudiera ver en su celular la ubicación exacta del bus escolar en tiempo real, ¿con qué frecuencia lo consultaría?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 usted como padre pudiera ver'!$B$3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'Si usted como padre pudiera ver'!$A$4:$A$6</c:f>
              <c:strCache>
                <c:ptCount val="3"/>
                <c:pt idx="0">
                  <c:v>A diario</c:v>
                </c:pt>
                <c:pt idx="1">
                  <c:v>Rara vez</c:v>
                </c:pt>
                <c:pt idx="2">
                  <c:v>Solo cuando el bus se retrase</c:v>
                </c:pt>
              </c:strCache>
            </c:strRef>
          </c:cat>
          <c:val>
            <c:numRef>
              <c:f>'Si usted como padre pudiera ver'!$B$4:$B$6</c:f>
              <c:numCache>
                <c:formatCode>General</c:formatCode>
                <c:ptCount val="3"/>
                <c:pt idx="0">
                  <c:v>15</c:v>
                </c:pt>
                <c:pt idx="1">
                  <c:v>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6-4BDD-8280-0629FB123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5213840"/>
        <c:axId val="1725219120"/>
      </c:barChart>
      <c:catAx>
        <c:axId val="172521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5219120"/>
        <c:crosses val="autoZero"/>
        <c:auto val="1"/>
        <c:lblAlgn val="ctr"/>
        <c:lblOffset val="100"/>
        <c:noMultiLvlLbl val="0"/>
      </c:catAx>
      <c:valAx>
        <c:axId val="172521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521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'¿Cuáles beneficios cree que apo'!$B$3</c:f>
              <c:strCache>
                <c:ptCount val="1"/>
                <c:pt idx="0">
                  <c:v>Cuenta de ¿Cuáles beneficios cree que aportaría Guardian Escolar para usted y su familia? (Puede seleccionar más de una opción)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'¿Cuáles beneficios cree que apo'!$A$4:$A$6</c:f>
              <c:strCache>
                <c:ptCount val="3"/>
                <c:pt idx="0">
                  <c:v>Mayor tranquilidad y seguridad</c:v>
                </c:pt>
                <c:pt idx="1">
                  <c:v>Mejor organización de tiempos alsaber el momento exacto dellegada</c:v>
                </c:pt>
                <c:pt idx="2">
                  <c:v>Reducción de preocupación porretrasos o imprevistos</c:v>
                </c:pt>
              </c:strCache>
            </c:strRef>
          </c:cat>
          <c:val>
            <c:numRef>
              <c:f>'¿Cuáles beneficios cree que apo'!$B$4:$B$6</c:f>
              <c:numCache>
                <c:formatCode>General</c:formatCode>
                <c:ptCount val="3"/>
                <c:pt idx="0">
                  <c:v>25</c:v>
                </c:pt>
                <c:pt idx="1">
                  <c:v>16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6-4DF3-923D-FE54447F7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1056047"/>
        <c:axId val="2071056527"/>
      </c:barChart>
      <c:catAx>
        <c:axId val="2071056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71056527"/>
        <c:crosses val="autoZero"/>
        <c:auto val="1"/>
        <c:lblAlgn val="ctr"/>
        <c:lblOffset val="100"/>
        <c:noMultiLvlLbl val="0"/>
      </c:catAx>
      <c:valAx>
        <c:axId val="207105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7105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[Guardian Escolar (respuestas).xlsx]Suponga que la plataforma le no!TablaDinámica17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Cuenta de Suponga que la plataforma le notifica cuando su hijo sube o baja del bus. ¿Qué tan útil considera esta función?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'Suponga que la plataforma le no'!$B$3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'Suponga que la plataforma le no'!$A$4:$A$7</c:f>
              <c:strCache>
                <c:ptCount val="4"/>
                <c:pt idx="0">
                  <c:v>Innecesaria</c:v>
                </c:pt>
                <c:pt idx="1">
                  <c:v>Muy útil</c:v>
                </c:pt>
                <c:pt idx="2">
                  <c:v>Poco útil</c:v>
                </c:pt>
                <c:pt idx="3">
                  <c:v>Útil</c:v>
                </c:pt>
              </c:strCache>
            </c:strRef>
          </c:cat>
          <c:val>
            <c:numRef>
              <c:f>'Suponga que la plataforma le no'!$B$4:$B$7</c:f>
              <c:numCache>
                <c:formatCode>General</c:formatCode>
                <c:ptCount val="4"/>
                <c:pt idx="0">
                  <c:v>1</c:v>
                </c:pt>
                <c:pt idx="1">
                  <c:v>14</c:v>
                </c:pt>
                <c:pt idx="2">
                  <c:v>3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3-43FA-8707-7D73B0FCC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335775"/>
        <c:axId val="461322335"/>
      </c:barChart>
      <c:catAx>
        <c:axId val="46133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1322335"/>
        <c:crosses val="autoZero"/>
        <c:auto val="1"/>
        <c:lblAlgn val="ctr"/>
        <c:lblOffset val="100"/>
        <c:noMultiLvlLbl val="0"/>
      </c:catAx>
      <c:valAx>
        <c:axId val="46132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1335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'¿Qué funciones te parecen útile'!$B$3</c:f>
              <c:strCache>
                <c:ptCount val="1"/>
                <c:pt idx="0">
                  <c:v>Cuenta de ¿Qué funciones te parecen útiles en una plataforma de este tipo? (marca las que consideres importantes)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'¿Qué funciones te parecen útile'!$A$4:$A$9</c:f>
              <c:strCache>
                <c:ptCount val="6"/>
                <c:pt idx="0">
                  <c:v>Ver la ubicación del bus entiempo real</c:v>
                </c:pt>
                <c:pt idx="1">
                  <c:v>Saber si el bus está retrasado</c:v>
                </c:pt>
                <c:pt idx="2">
                  <c:v>Comunicación directa con elconductor o acudiente</c:v>
                </c:pt>
                <c:pt idx="3">
                  <c:v>Historial de recorridos</c:v>
                </c:pt>
                <c:pt idx="4">
                  <c:v>Registro de rutas pasadas</c:v>
                </c:pt>
                <c:pt idx="5">
                  <c:v>Integración con el calendarioescolar</c:v>
                </c:pt>
              </c:strCache>
            </c:strRef>
          </c:cat>
          <c:val>
            <c:numRef>
              <c:f>'¿Qué funciones te parecen útile'!$B$4:$B$9</c:f>
              <c:numCache>
                <c:formatCode>General</c:formatCode>
                <c:ptCount val="6"/>
                <c:pt idx="0">
                  <c:v>25</c:v>
                </c:pt>
                <c:pt idx="1">
                  <c:v>15</c:v>
                </c:pt>
                <c:pt idx="2">
                  <c:v>14</c:v>
                </c:pt>
                <c:pt idx="3">
                  <c:v>20</c:v>
                </c:pt>
                <c:pt idx="4">
                  <c:v>10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F-48D7-92DB-8BF4858F9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0673583"/>
        <c:axId val="710665903"/>
      </c:barChart>
      <c:catAx>
        <c:axId val="710673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0665903"/>
        <c:crosses val="autoZero"/>
        <c:auto val="1"/>
        <c:lblAlgn val="ctr"/>
        <c:lblOffset val="100"/>
        <c:noMultiLvlLbl val="0"/>
      </c:catAx>
      <c:valAx>
        <c:axId val="710665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067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[Guardian Escolar (respuestas).xlsx]¿Desde dónde preferirías usar l!TablaDinámica24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Cuenta de ¿Desde dónde preferirías usar la plataforma?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'¿Desde dónde preferirías usar 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'¿Desde dónde preferirías usar l'!$A$4:$A$6</c:f>
              <c:strCache>
                <c:ptCount val="3"/>
                <c:pt idx="0">
                  <c:v>Ambas</c:v>
                </c:pt>
                <c:pt idx="1">
                  <c:v>Aplicación móvil</c:v>
                </c:pt>
                <c:pt idx="2">
                  <c:v>Página web</c:v>
                </c:pt>
              </c:strCache>
            </c:strRef>
          </c:cat>
          <c:val>
            <c:numRef>
              <c:f>'¿Desde dónde preferirías usar l'!$B$4:$B$6</c:f>
              <c:numCache>
                <c:formatCode>General</c:formatCode>
                <c:ptCount val="3"/>
                <c:pt idx="0">
                  <c:v>11</c:v>
                </c:pt>
                <c:pt idx="1">
                  <c:v>17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2-4E0A-A273-820A07F17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1342495"/>
        <c:axId val="461329535"/>
      </c:barChart>
      <c:catAx>
        <c:axId val="461342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1329535"/>
        <c:crosses val="autoZero"/>
        <c:auto val="1"/>
        <c:lblAlgn val="ctr"/>
        <c:lblOffset val="100"/>
        <c:noMultiLvlLbl val="0"/>
      </c:catAx>
      <c:valAx>
        <c:axId val="46132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134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[Guardian Escolar (respuestas).xlsx]¿Qué tan confiable y segura con!TablaDinámica29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Cuenta de ¿Qué tan confiable y segura considera que debe ser esta plataforma respecto a la privacidad y protección de datos?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'¿Qué tan confiable y segura con'!$B$3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'¿Qué tan confiable y segura con'!$A$4:$A$8</c:f>
              <c:strCache>
                <c:ptCount val="5"/>
                <c:pt idx="0">
                  <c:v>Confiable</c:v>
                </c:pt>
                <c:pt idx="1">
                  <c:v>Esencial que sea extremadamente segura</c:v>
                </c:pt>
                <c:pt idx="2">
                  <c:v>Medianamente confiable</c:v>
                </c:pt>
                <c:pt idx="3">
                  <c:v>Muy confiable</c:v>
                </c:pt>
                <c:pt idx="4">
                  <c:v>Poco confiable</c:v>
                </c:pt>
              </c:strCache>
            </c:strRef>
          </c:cat>
          <c:val>
            <c:numRef>
              <c:f>'¿Qué tan confiable y segura con'!$B$4:$B$8</c:f>
              <c:numCache>
                <c:formatCode>General</c:formatCode>
                <c:ptCount val="5"/>
                <c:pt idx="0">
                  <c:v>6</c:v>
                </c:pt>
                <c:pt idx="1">
                  <c:v>11</c:v>
                </c:pt>
                <c:pt idx="2">
                  <c:v>4</c:v>
                </c:pt>
                <c:pt idx="3">
                  <c:v>7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2-41D6-A770-3342E77E1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1364575"/>
        <c:axId val="461357855"/>
      </c:barChart>
      <c:catAx>
        <c:axId val="461364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1357855"/>
        <c:crosses val="autoZero"/>
        <c:auto val="1"/>
        <c:lblAlgn val="ctr"/>
        <c:lblOffset val="100"/>
        <c:noMultiLvlLbl val="0"/>
      </c:catAx>
      <c:valAx>
        <c:axId val="46135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136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[Guardian Escolar (respuestas).xlsx]¿Usas frecuentemente o utilizas!TablaDinámica34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Cuenta de ¿Usas frecuentemente o utilizaste aplicaciones para la escuela, comunicación o transporte?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'¿Usas frecuentemente o utilizas'!$B$3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'¿Usas frecuentemente o utilizas'!$A$4:$A$7</c:f>
              <c:strCache>
                <c:ptCount val="4"/>
                <c:pt idx="0">
                  <c:v>Algunas veces</c:v>
                </c:pt>
                <c:pt idx="1">
                  <c:v>Nunca</c:v>
                </c:pt>
                <c:pt idx="2">
                  <c:v>Rara vez</c:v>
                </c:pt>
                <c:pt idx="3">
                  <c:v>Sí</c:v>
                </c:pt>
              </c:strCache>
            </c:strRef>
          </c:cat>
          <c:val>
            <c:numRef>
              <c:f>'¿Usas frecuentemente o utilizas'!$B$4:$B$7</c:f>
              <c:numCache>
                <c:formatCode>General</c:formatCode>
                <c:ptCount val="4"/>
                <c:pt idx="0">
                  <c:v>11</c:v>
                </c:pt>
                <c:pt idx="1">
                  <c:v>7</c:v>
                </c:pt>
                <c:pt idx="2">
                  <c:v>4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C-4F2A-B27C-33A7F8B92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435615"/>
        <c:axId val="461436575"/>
      </c:barChart>
      <c:catAx>
        <c:axId val="46143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1436575"/>
        <c:crosses val="autoZero"/>
        <c:auto val="1"/>
        <c:lblAlgn val="ctr"/>
        <c:lblOffset val="100"/>
        <c:noMultiLvlLbl val="0"/>
      </c:catAx>
      <c:valAx>
        <c:axId val="46143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1435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[Guardian Escolar (respuestas).xlsx]¿Te gustaría ser parte de una p!TablaDinámica41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Cuenta de   ¿Te gustaría ser parte de una prueba piloto del sistema?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'¿Te gustaría ser parte de una 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'¿Te gustaría ser parte de una p'!$A$4:$A$6</c:f>
              <c:strCache>
                <c:ptCount val="3"/>
                <c:pt idx="0">
                  <c:v>No</c:v>
                </c:pt>
                <c:pt idx="1">
                  <c:v>Si</c:v>
                </c:pt>
                <c:pt idx="2">
                  <c:v>Tal vez</c:v>
                </c:pt>
              </c:strCache>
            </c:strRef>
          </c:cat>
          <c:val>
            <c:numRef>
              <c:f>'¿Te gustaría ser parte de una p'!$B$4:$B$6</c:f>
              <c:numCache>
                <c:formatCode>General</c:formatCode>
                <c:ptCount val="3"/>
                <c:pt idx="0">
                  <c:v>4</c:v>
                </c:pt>
                <c:pt idx="1">
                  <c:v>16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3-442E-9599-C87E229FC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437055"/>
        <c:axId val="461438975"/>
      </c:barChart>
      <c:catAx>
        <c:axId val="46143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1438975"/>
        <c:crosses val="autoZero"/>
        <c:auto val="1"/>
        <c:lblAlgn val="ctr"/>
        <c:lblOffset val="100"/>
        <c:noMultiLvlLbl val="0"/>
      </c:catAx>
      <c:valAx>
        <c:axId val="46143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143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388620</xdr:colOff>
      <xdr:row>6</xdr:row>
      <xdr:rowOff>41910</xdr:rowOff>
    </xdr:from>
    <xdr:to>
      <xdr:col>4</xdr:col>
      <xdr:colOff>38100</xdr:colOff>
      <xdr:row>22</xdr:row>
      <xdr:rowOff>102870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579DA0-5F62-5067-C9EC-8B39D0B60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9</xdr:row>
      <xdr:rowOff>15240</xdr:rowOff>
    </xdr:from>
    <xdr:to>
      <xdr:col>4</xdr:col>
      <xdr:colOff>15240</xdr:colOff>
      <xdr:row>33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B5004F-2ED9-CCD7-D229-AF734EAAC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358140</xdr:colOff>
      <xdr:row>6</xdr:row>
      <xdr:rowOff>140970</xdr:rowOff>
    </xdr:from>
    <xdr:to>
      <xdr:col>1</xdr:col>
      <xdr:colOff>3520440</xdr:colOff>
      <xdr:row>23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50903F-AC13-6503-DD7F-DFD8B20BE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1714500</xdr:colOff>
      <xdr:row>7</xdr:row>
      <xdr:rowOff>80010</xdr:rowOff>
    </xdr:from>
    <xdr:to>
      <xdr:col>1</xdr:col>
      <xdr:colOff>335280</xdr:colOff>
      <xdr:row>23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C08889-C624-79DA-6300-522A0E2FD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3040380</xdr:colOff>
      <xdr:row>8</xdr:row>
      <xdr:rowOff>163830</xdr:rowOff>
    </xdr:from>
    <xdr:to>
      <xdr:col>1</xdr:col>
      <xdr:colOff>1028700</xdr:colOff>
      <xdr:row>25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54A4EA-14DF-DA21-B7FB-15C717B92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2293620</xdr:colOff>
      <xdr:row>10</xdr:row>
      <xdr:rowOff>95250</xdr:rowOff>
    </xdr:from>
    <xdr:to>
      <xdr:col>1</xdr:col>
      <xdr:colOff>1775460</xdr:colOff>
      <xdr:row>26</xdr:row>
      <xdr:rowOff>156210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0FF25E-3AF0-E15D-A308-D0D1CB01D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1973580</xdr:colOff>
      <xdr:row>6</xdr:row>
      <xdr:rowOff>140970</xdr:rowOff>
    </xdr:from>
    <xdr:to>
      <xdr:col>6</xdr:col>
      <xdr:colOff>76200</xdr:colOff>
      <xdr:row>23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6615F4-7F38-A418-CBC5-0401BA17DD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8</xdr:row>
      <xdr:rowOff>156210</xdr:rowOff>
    </xdr:from>
    <xdr:to>
      <xdr:col>1</xdr:col>
      <xdr:colOff>4427220</xdr:colOff>
      <xdr:row>25</xdr:row>
      <xdr:rowOff>49530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A4A1FE-832A-D5E6-4FF2-CDF50ECE6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3131820</xdr:colOff>
      <xdr:row>6</xdr:row>
      <xdr:rowOff>140970</xdr:rowOff>
    </xdr:from>
    <xdr:to>
      <xdr:col>1</xdr:col>
      <xdr:colOff>2240280</xdr:colOff>
      <xdr:row>23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5A5980-2A33-2D79-58AF-C158934E0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1242060</xdr:colOff>
      <xdr:row>6</xdr:row>
      <xdr:rowOff>140970</xdr:rowOff>
    </xdr:from>
    <xdr:to>
      <xdr:col>4</xdr:col>
      <xdr:colOff>198120</xdr:colOff>
      <xdr:row>23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B6B3B5-D2F0-880A-F3ED-4031541F9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LA RAMIREZ" refreshedDate="45819.459119444444" createdVersion="8" refreshedVersion="8" minRefreshableVersion="3" recordCount="30" xr:uid="{DC22D278-1B60-41DC-8683-24DE127E0EA2}">
  <cacheSource type="worksheet">
    <worksheetSource name="Form_Responses1"/>
  </cacheSource>
  <cacheFields count="13">
    <cacheField name="Marca temporal" numFmtId="164">
      <sharedItems containsSemiMixedTypes="0" containsNonDate="0" containsDate="1" containsString="0" minDate="2025-06-09T07:22:55" maxDate="2025-06-11T09:09:12"/>
    </cacheField>
    <cacheField name="Tipo de encuestado" numFmtId="0">
      <sharedItems count="2">
        <s v="Estudiante"/>
        <s v="Padre / Madre / Acudiente"/>
      </sharedItems>
    </cacheField>
    <cacheField name="Nombre completo" numFmtId="0">
      <sharedItems/>
    </cacheField>
    <cacheField name="¿Qué tan importante considera la posibilidad de conocer en tiempo real la ubicación del transporte escolar? " numFmtId="0">
      <sharedItems/>
    </cacheField>
    <cacheField name="Si usted como padre pudiera ver en su celular la ubicación exacta del bus escolar en tiempo real, ¿con qué frecuencia lo consultaría?  " numFmtId="0">
      <sharedItems/>
    </cacheField>
    <cacheField name="¿Cuáles beneficios cree que aportaría Guardian Escolar para usted y su familia? (Puede seleccionar más de una opción)  " numFmtId="0">
      <sharedItems/>
    </cacheField>
    <cacheField name="Suponga que la plataforma le notifica cuando su hijo sube o baja del bus. ¿Qué tan útil considera esta función?  " numFmtId="0">
      <sharedItems/>
    </cacheField>
    <cacheField name="¿Qué funciones te parecen útiles en una plataforma de este tipo? (marca las que consideres importantes) " numFmtId="0">
      <sharedItems/>
    </cacheField>
    <cacheField name="¿Desde dónde preferirías usar la plataforma? " numFmtId="0">
      <sharedItems/>
    </cacheField>
    <cacheField name="¿Qué tan confiable y segura considera que debe ser esta plataforma respecto a la privacidad y protección de datos? " numFmtId="0">
      <sharedItems/>
    </cacheField>
    <cacheField name="¿Usas frecuentemente o utilizaste aplicaciones para la escuela, comunicación o transporte? " numFmtId="0">
      <sharedItems/>
    </cacheField>
    <cacheField name="¿Qué sugerencias o ideas aportarías para mejorar este proyecto?  " numFmtId="0">
      <sharedItems/>
    </cacheField>
    <cacheField name="  ¿Te gustaría ser parte de una prueba piloto del sistema? 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LA RAMIREZ" refreshedDate="45819.459796643518" createdVersion="8" refreshedVersion="8" minRefreshableVersion="3" recordCount="30" xr:uid="{CF420C34-0723-45FD-B216-1E8A647D4A27}">
  <cacheSource type="worksheet">
    <worksheetSource name="Form_Responses1"/>
  </cacheSource>
  <cacheFields count="13">
    <cacheField name="Marca temporal" numFmtId="164">
      <sharedItems containsSemiMixedTypes="0" containsNonDate="0" containsDate="1" containsString="0" minDate="2025-06-09T07:22:55" maxDate="2025-06-11T09:09:12"/>
    </cacheField>
    <cacheField name="Tipo de encuestado" numFmtId="0">
      <sharedItems/>
    </cacheField>
    <cacheField name="Nombre completo" numFmtId="0">
      <sharedItems/>
    </cacheField>
    <cacheField name="¿Qué tan importante considera la posibilidad de conocer en tiempo real la ubicación del transporte escolar? " numFmtId="0">
      <sharedItems count="5">
        <s v="Moderadamente importante"/>
        <s v="Muy importante"/>
        <s v="Poco importante"/>
        <s v="Fundamental"/>
        <s v="Nada importante"/>
      </sharedItems>
    </cacheField>
    <cacheField name="Si usted como padre pudiera ver en su celular la ubicación exacta del bus escolar en tiempo real, ¿con qué frecuencia lo consultaría?  " numFmtId="0">
      <sharedItems/>
    </cacheField>
    <cacheField name="¿Cuáles beneficios cree que aportaría Guardian Escolar para usted y su familia? (Puede seleccionar más de una opción)  " numFmtId="0">
      <sharedItems/>
    </cacheField>
    <cacheField name="Suponga que la plataforma le notifica cuando su hijo sube o baja del bus. ¿Qué tan útil considera esta función?  " numFmtId="0">
      <sharedItems/>
    </cacheField>
    <cacheField name="¿Qué funciones te parecen útiles en una plataforma de este tipo? (marca las que consideres importantes) " numFmtId="0">
      <sharedItems/>
    </cacheField>
    <cacheField name="¿Desde dónde preferirías usar la plataforma? " numFmtId="0">
      <sharedItems/>
    </cacheField>
    <cacheField name="¿Qué tan confiable y segura considera que debe ser esta plataforma respecto a la privacidad y protección de datos? " numFmtId="0">
      <sharedItems/>
    </cacheField>
    <cacheField name="¿Usas frecuentemente o utilizaste aplicaciones para la escuela, comunicación o transporte? " numFmtId="0">
      <sharedItems/>
    </cacheField>
    <cacheField name="¿Qué sugerencias o ideas aportarías para mejorar este proyecto?  " numFmtId="0">
      <sharedItems/>
    </cacheField>
    <cacheField name="  ¿Te gustaría ser parte de una prueba piloto del sistema? 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LA RAMIREZ" refreshedDate="45819.460695486108" createdVersion="8" refreshedVersion="8" minRefreshableVersion="3" recordCount="30" xr:uid="{8BFE50AB-AD5A-48B1-9569-A9D848E70F40}">
  <cacheSource type="worksheet">
    <worksheetSource name="Form_Responses1"/>
  </cacheSource>
  <cacheFields count="13">
    <cacheField name="Marca temporal" numFmtId="164">
      <sharedItems containsSemiMixedTypes="0" containsNonDate="0" containsDate="1" containsString="0" minDate="2025-06-09T07:22:55" maxDate="2025-06-11T09:09:12"/>
    </cacheField>
    <cacheField name="Tipo de encuestado" numFmtId="0">
      <sharedItems/>
    </cacheField>
    <cacheField name="Nombre completo" numFmtId="0">
      <sharedItems/>
    </cacheField>
    <cacheField name="¿Qué tan importante considera la posibilidad de conocer en tiempo real la ubicación del transporte escolar? " numFmtId="0">
      <sharedItems/>
    </cacheField>
    <cacheField name="Si usted como padre pudiera ver en su celular la ubicación exacta del bus escolar en tiempo real, ¿con qué frecuencia lo consultaría?  " numFmtId="0">
      <sharedItems count="3">
        <s v="A diario"/>
        <s v="Solo cuando el bus se retrase"/>
        <s v="Rara vez"/>
      </sharedItems>
    </cacheField>
    <cacheField name="¿Cuáles beneficios cree que aportaría Guardian Escolar para usted y su familia? (Puede seleccionar más de una opción)  " numFmtId="0">
      <sharedItems/>
    </cacheField>
    <cacheField name="Suponga que la plataforma le notifica cuando su hijo sube o baja del bus. ¿Qué tan útil considera esta función?  " numFmtId="0">
      <sharedItems/>
    </cacheField>
    <cacheField name="¿Qué funciones te parecen útiles en una plataforma de este tipo? (marca las que consideres importantes) " numFmtId="0">
      <sharedItems/>
    </cacheField>
    <cacheField name="¿Desde dónde preferirías usar la plataforma? " numFmtId="0">
      <sharedItems/>
    </cacheField>
    <cacheField name="¿Qué tan confiable y segura considera que debe ser esta plataforma respecto a la privacidad y protección de datos? " numFmtId="0">
      <sharedItems/>
    </cacheField>
    <cacheField name="¿Usas frecuentemente o utilizaste aplicaciones para la escuela, comunicación o transporte? " numFmtId="0">
      <sharedItems/>
    </cacheField>
    <cacheField name="¿Qué sugerencias o ideas aportarías para mejorar este proyecto?  " numFmtId="0">
      <sharedItems/>
    </cacheField>
    <cacheField name="  ¿Te gustaría ser parte de una prueba piloto del sistema? 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LA RAMIREZ" refreshedDate="45819.839949421294" createdVersion="8" refreshedVersion="8" minRefreshableVersion="3" recordCount="30" xr:uid="{7CD2F65D-7CCE-4DFA-8766-6777BB21AB04}">
  <cacheSource type="worksheet">
    <worksheetSource name="Form_Responses1"/>
  </cacheSource>
  <cacheFields count="13">
    <cacheField name="Marca temporal" numFmtId="164">
      <sharedItems containsSemiMixedTypes="0" containsNonDate="0" containsDate="1" containsString="0" minDate="2025-06-09T07:22:55" maxDate="2025-06-11T09:09:12"/>
    </cacheField>
    <cacheField name="Tipo de encuestado" numFmtId="0">
      <sharedItems/>
    </cacheField>
    <cacheField name="Nombre completo" numFmtId="0">
      <sharedItems/>
    </cacheField>
    <cacheField name="¿Qué tan importante considera la posibilidad de conocer en tiempo real la ubicación del transporte escolar? " numFmtId="0">
      <sharedItems/>
    </cacheField>
    <cacheField name="Si usted como padre pudiera ver en su celular la ubicación exacta del bus escolar en tiempo real, ¿con qué frecuencia lo consultaría?  " numFmtId="0">
      <sharedItems/>
    </cacheField>
    <cacheField name="¿Cuáles beneficios cree que aportaría Guardian Escolar para usted y su familia? (Puede seleccionar más de una opción)  " numFmtId="0">
      <sharedItems/>
    </cacheField>
    <cacheField name="Suponga que la plataforma le notifica cuando su hijo sube o baja del bus. ¿Qué tan útil considera esta función?  " numFmtId="0">
      <sharedItems count="4">
        <s v="Muy útil"/>
        <s v="Útil"/>
        <s v="Poco útil"/>
        <s v="Innecesaria"/>
      </sharedItems>
    </cacheField>
    <cacheField name="¿Qué funciones te parecen útiles en una plataforma de este tipo? (marca las que consideres importantes) " numFmtId="0">
      <sharedItems/>
    </cacheField>
    <cacheField name="¿Desde dónde preferirías usar la plataforma? " numFmtId="0">
      <sharedItems/>
    </cacheField>
    <cacheField name="¿Qué tan confiable y segura considera que debe ser esta plataforma respecto a la privacidad y protección de datos? " numFmtId="0">
      <sharedItems/>
    </cacheField>
    <cacheField name="¿Usas frecuentemente o utilizaste aplicaciones para la escuela, comunicación o transporte? " numFmtId="0">
      <sharedItems/>
    </cacheField>
    <cacheField name="¿Qué sugerencias o ideas aportarías para mejorar este proyecto?  " numFmtId="0">
      <sharedItems/>
    </cacheField>
    <cacheField name="  ¿Te gustaría ser parte de una prueba piloto del sistema? 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LA RAMIREZ" refreshedDate="45819.841356712961" createdVersion="8" refreshedVersion="8" minRefreshableVersion="3" recordCount="30" xr:uid="{76587750-94B3-424A-A6D2-CE7C1B9EA5A6}">
  <cacheSource type="worksheet">
    <worksheetSource name="Form_Responses1"/>
  </cacheSource>
  <cacheFields count="13">
    <cacheField name="Marca temporal" numFmtId="164">
      <sharedItems containsSemiMixedTypes="0" containsNonDate="0" containsDate="1" containsString="0" minDate="2025-06-09T07:22:55" maxDate="2025-06-11T09:09:12"/>
    </cacheField>
    <cacheField name="Tipo de encuestado" numFmtId="0">
      <sharedItems/>
    </cacheField>
    <cacheField name="Nombre completo" numFmtId="0">
      <sharedItems/>
    </cacheField>
    <cacheField name="¿Qué tan importante considera la posibilidad de conocer en tiempo real la ubicación del transporte escolar? " numFmtId="0">
      <sharedItems/>
    </cacheField>
    <cacheField name="Si usted como padre pudiera ver en su celular la ubicación exacta del bus escolar en tiempo real, ¿con qué frecuencia lo consultaría?  " numFmtId="0">
      <sharedItems/>
    </cacheField>
    <cacheField name="¿Cuáles beneficios cree que aportaría Guardian Escolar para usted y su familia? (Puede seleccionar más de una opción)  " numFmtId="0">
      <sharedItems/>
    </cacheField>
    <cacheField name="Suponga que la plataforma le notifica cuando su hijo sube o baja del bus. ¿Qué tan útil considera esta función?  " numFmtId="0">
      <sharedItems/>
    </cacheField>
    <cacheField name="¿Qué funciones te parecen útiles en una plataforma de este tipo? (marca las que consideres importantes) " numFmtId="0">
      <sharedItems/>
    </cacheField>
    <cacheField name="¿Desde dónde preferirías usar la plataforma? " numFmtId="0">
      <sharedItems count="3">
        <s v="Aplicación móvil"/>
        <s v="Ambas"/>
        <s v="Página web"/>
      </sharedItems>
    </cacheField>
    <cacheField name="¿Qué tan confiable y segura considera que debe ser esta plataforma respecto a la privacidad y protección de datos? " numFmtId="0">
      <sharedItems/>
    </cacheField>
    <cacheField name="¿Usas frecuentemente o utilizaste aplicaciones para la escuela, comunicación o transporte? " numFmtId="0">
      <sharedItems/>
    </cacheField>
    <cacheField name="¿Qué sugerencias o ideas aportarías para mejorar este proyecto?  " numFmtId="0">
      <sharedItems/>
    </cacheField>
    <cacheField name="  ¿Te gustaría ser parte de una prueba piloto del sistema? 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LA RAMIREZ" refreshedDate="45819.841625000001" createdVersion="8" refreshedVersion="8" minRefreshableVersion="3" recordCount="30" xr:uid="{06E6FCEE-63CC-455D-9C9B-C1396FA48D6D}">
  <cacheSource type="worksheet">
    <worksheetSource name="Form_Responses1"/>
  </cacheSource>
  <cacheFields count="13">
    <cacheField name="Marca temporal" numFmtId="164">
      <sharedItems containsSemiMixedTypes="0" containsNonDate="0" containsDate="1" containsString="0" minDate="2025-06-09T07:22:55" maxDate="2025-06-11T09:09:12"/>
    </cacheField>
    <cacheField name="Tipo de encuestado" numFmtId="0">
      <sharedItems/>
    </cacheField>
    <cacheField name="Nombre completo" numFmtId="0">
      <sharedItems/>
    </cacheField>
    <cacheField name="¿Qué tan importante considera la posibilidad de conocer en tiempo real la ubicación del transporte escolar? " numFmtId="0">
      <sharedItems/>
    </cacheField>
    <cacheField name="Si usted como padre pudiera ver en su celular la ubicación exacta del bus escolar en tiempo real, ¿con qué frecuencia lo consultaría?  " numFmtId="0">
      <sharedItems/>
    </cacheField>
    <cacheField name="¿Cuáles beneficios cree que aportaría Guardian Escolar para usted y su familia? (Puede seleccionar más de una opción)  " numFmtId="0">
      <sharedItems/>
    </cacheField>
    <cacheField name="Suponga que la plataforma le notifica cuando su hijo sube o baja del bus. ¿Qué tan útil considera esta función?  " numFmtId="0">
      <sharedItems/>
    </cacheField>
    <cacheField name="¿Qué funciones te parecen útiles en una plataforma de este tipo? (marca las que consideres importantes) " numFmtId="0">
      <sharedItems/>
    </cacheField>
    <cacheField name="¿Desde dónde preferirías usar la plataforma? " numFmtId="0">
      <sharedItems/>
    </cacheField>
    <cacheField name="¿Qué tan confiable y segura considera que debe ser esta plataforma respecto a la privacidad y protección de datos? " numFmtId="0">
      <sharedItems count="5">
        <s v="Esencial que sea extremadamente segura"/>
        <s v="Muy confiable"/>
        <s v="Confiable"/>
        <s v="Medianamente confiable"/>
        <s v="Poco confiable"/>
      </sharedItems>
    </cacheField>
    <cacheField name="¿Usas frecuentemente o utilizaste aplicaciones para la escuela, comunicación o transporte? " numFmtId="0">
      <sharedItems/>
    </cacheField>
    <cacheField name="¿Qué sugerencias o ideas aportarías para mejorar este proyecto?  " numFmtId="0">
      <sharedItems/>
    </cacheField>
    <cacheField name="  ¿Te gustaría ser parte de una prueba piloto del sistema? 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LA RAMIREZ" refreshedDate="45819.842064699071" createdVersion="8" refreshedVersion="8" minRefreshableVersion="3" recordCount="30" xr:uid="{3F8957C3-E728-4FA2-BB7A-EDCCE6C413D3}">
  <cacheSource type="worksheet">
    <worksheetSource name="Form_Responses1"/>
  </cacheSource>
  <cacheFields count="13">
    <cacheField name="Marca temporal" numFmtId="164">
      <sharedItems containsSemiMixedTypes="0" containsNonDate="0" containsDate="1" containsString="0" minDate="2025-06-09T07:22:55" maxDate="2025-06-11T09:09:12"/>
    </cacheField>
    <cacheField name="Tipo de encuestado" numFmtId="0">
      <sharedItems/>
    </cacheField>
    <cacheField name="Nombre completo" numFmtId="0">
      <sharedItems/>
    </cacheField>
    <cacheField name="¿Qué tan importante considera la posibilidad de conocer en tiempo real la ubicación del transporte escolar? " numFmtId="0">
      <sharedItems/>
    </cacheField>
    <cacheField name="Si usted como padre pudiera ver en su celular la ubicación exacta del bus escolar en tiempo real, ¿con qué frecuencia lo consultaría?  " numFmtId="0">
      <sharedItems/>
    </cacheField>
    <cacheField name="¿Cuáles beneficios cree que aportaría Guardian Escolar para usted y su familia? (Puede seleccionar más de una opción)  " numFmtId="0">
      <sharedItems/>
    </cacheField>
    <cacheField name="Suponga que la plataforma le notifica cuando su hijo sube o baja del bus. ¿Qué tan útil considera esta función?  " numFmtId="0">
      <sharedItems/>
    </cacheField>
    <cacheField name="¿Qué funciones te parecen útiles en una plataforma de este tipo? (marca las que consideres importantes) " numFmtId="0">
      <sharedItems/>
    </cacheField>
    <cacheField name="¿Desde dónde preferirías usar la plataforma? " numFmtId="0">
      <sharedItems/>
    </cacheField>
    <cacheField name="¿Qué tan confiable y segura considera que debe ser esta plataforma respecto a la privacidad y protección de datos? " numFmtId="0">
      <sharedItems/>
    </cacheField>
    <cacheField name="¿Usas frecuentemente o utilizaste aplicaciones para la escuela, comunicación o transporte? " numFmtId="0">
      <sharedItems count="4">
        <s v="Sí"/>
        <s v="Algunas veces"/>
        <s v="Rara vez"/>
        <s v="Nunca"/>
      </sharedItems>
    </cacheField>
    <cacheField name="¿Qué sugerencias o ideas aportarías para mejorar este proyecto?  " numFmtId="0">
      <sharedItems/>
    </cacheField>
    <cacheField name="  ¿Te gustaría ser parte de una prueba piloto del sistema? 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LA RAMIREZ" refreshedDate="45819.842773379627" createdVersion="8" refreshedVersion="8" minRefreshableVersion="3" recordCount="30" xr:uid="{790CFA6E-3572-4703-A952-C4E8B034F150}">
  <cacheSource type="worksheet">
    <worksheetSource name="Form_Responses1"/>
  </cacheSource>
  <cacheFields count="13">
    <cacheField name="Marca temporal" numFmtId="164">
      <sharedItems containsSemiMixedTypes="0" containsNonDate="0" containsDate="1" containsString="0" minDate="2025-06-09T07:22:55" maxDate="2025-06-11T09:09:12"/>
    </cacheField>
    <cacheField name="Tipo de encuestado" numFmtId="0">
      <sharedItems/>
    </cacheField>
    <cacheField name="Nombre completo" numFmtId="0">
      <sharedItems/>
    </cacheField>
    <cacheField name="¿Qué tan importante considera la posibilidad de conocer en tiempo real la ubicación del transporte escolar? " numFmtId="0">
      <sharedItems/>
    </cacheField>
    <cacheField name="Si usted como padre pudiera ver en su celular la ubicación exacta del bus escolar en tiempo real, ¿con qué frecuencia lo consultaría?  " numFmtId="0">
      <sharedItems/>
    </cacheField>
    <cacheField name="¿Cuáles beneficios cree que aportaría Guardian Escolar para usted y su familia? (Puede seleccionar más de una opción)  " numFmtId="0">
      <sharedItems/>
    </cacheField>
    <cacheField name="Suponga que la plataforma le notifica cuando su hijo sube o baja del bus. ¿Qué tan útil considera esta función?  " numFmtId="0">
      <sharedItems/>
    </cacheField>
    <cacheField name="¿Qué funciones te parecen útiles en una plataforma de este tipo? (marca las que consideres importantes) " numFmtId="0">
      <sharedItems/>
    </cacheField>
    <cacheField name="¿Desde dónde preferirías usar la plataforma? " numFmtId="0">
      <sharedItems/>
    </cacheField>
    <cacheField name="¿Qué tan confiable y segura considera que debe ser esta plataforma respecto a la privacidad y protección de datos? " numFmtId="0">
      <sharedItems/>
    </cacheField>
    <cacheField name="¿Usas frecuentemente o utilizaste aplicaciones para la escuela, comunicación o transporte? " numFmtId="0">
      <sharedItems/>
    </cacheField>
    <cacheField name="¿Qué sugerencias o ideas aportarías para mejorar este proyecto?  " numFmtId="0">
      <sharedItems/>
    </cacheField>
    <cacheField name="  ¿Te gustaría ser parte de una prueba piloto del sistema?  " numFmtId="0">
      <sharedItems count="3">
        <s v="Si"/>
        <s v="Tal vez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5-06-09T07:22:55"/>
    <x v="0"/>
    <s v="maria de los angeles olaya garcia "/>
    <s v="Moderadamente importante"/>
    <s v="A diario"/>
    <s v="Mayor tranquilidad y seguridad"/>
    <s v="Muy útil"/>
    <s v="Ver la ubicación del bus en tiempo real, Saber si el bus está retrasado, Comunicación directa con el conductor o acudiente, Historial de recorridos"/>
    <s v="Aplicación móvil"/>
    <s v="Esencial que sea extremadamente segura"/>
    <s v="Sí"/>
    <s v="que tenga acceso a numeros de contacto en caso de emergencias "/>
    <s v="Si"/>
  </r>
  <r>
    <d v="2025-06-09T07:23:26"/>
    <x v="0"/>
    <s v="Jhon Jairo Cortez VArgas"/>
    <s v="Moderadamente importante"/>
    <s v="Solo cuando el bus se retrase"/>
    <s v="Mayor tranquilidad y seguridad"/>
    <s v="Útil"/>
    <s v="Ver la ubicación del bus en tiempo real, Saber si el bus está retrasado, Historial de recorridos, Registro de rutas pasadas"/>
    <s v="Aplicación móvil"/>
    <s v="Muy confiable"/>
    <s v="Algunas veces"/>
    <s v="Que en caso de emergencias se pueda llamar a la policia, bomberos o hospitales desde la app"/>
    <s v="Si"/>
  </r>
  <r>
    <d v="2025-06-09T07:24:12"/>
    <x v="0"/>
    <s v="Juan David Arboleda Perdomo"/>
    <s v="Muy importante"/>
    <s v="Solo cuando el bus se retrase"/>
    <s v="Mayor tranquilidad y seguridad, Mejor organización de tiempos al saber el momento exacto de llegada, Reducción de preocupación por retrasos o imprevistos"/>
    <s v="Muy útil"/>
    <s v="Ver la ubicación del bus en tiempo real, Historial de recorridos, Registro de rutas pasadas, Integración con el calendario escolar"/>
    <s v="Aplicación móvil"/>
    <s v="Esencial que sea extremadamente segura"/>
    <s v="Rara vez"/>
    <s v="Que cuando notifique que mi hijo dejo el bus suene bachata"/>
    <s v="Si"/>
  </r>
  <r>
    <d v="2025-06-09T07:24:18"/>
    <x v="0"/>
    <s v="JUAN ESTEBAN OME"/>
    <s v="Moderadamente importante"/>
    <s v="Solo cuando el bus se retrase"/>
    <s v="Mayor tranquilidad y seguridad, Reducción de preocupación por retrasos o imprevistos"/>
    <s v="Útil"/>
    <s v="Ver la ubicación del bus en tiempo real, Comunicación directa con el conductor o acudiente, Integración con el calendario escolar"/>
    <s v="Ambas"/>
    <s v="Esencial que sea extremadamente segura"/>
    <s v="Nunca"/>
    <s v="IMPLEMENTAR RUTA ESCOLAR"/>
    <s v="Tal vez"/>
  </r>
  <r>
    <d v="2025-06-09T07:25:12"/>
    <x v="0"/>
    <s v="Diego Andrés Gutiérrez Nuñez"/>
    <s v="Muy importante"/>
    <s v="A diario"/>
    <s v="Mayor tranquilidad y seguridad"/>
    <s v="Muy útil"/>
    <s v="Ver la ubicación del bus en tiempo real, Saber si el bus está retrasado, Historial de recorridos, Registro de rutas pasadas"/>
    <s v="Ambas"/>
    <s v="Confiable"/>
    <s v="Algunas veces"/>
    <s v="q cuando mi hijo se baje del bus, pongamos alertas personalizadas como phonksito"/>
    <s v="Si"/>
  </r>
  <r>
    <d v="2025-06-09T07:25:25"/>
    <x v="0"/>
    <s v="Keneth Santiago Rubiano Silva "/>
    <s v="Moderadamente importante"/>
    <s v="Solo cuando el bus se retrase"/>
    <s v="Mayor tranquilidad y seguridad, Mejor organización de tiempos al saber el momento exacto de llegada"/>
    <s v="Poco útil"/>
    <s v="Historial de recorridos"/>
    <s v="Ambas"/>
    <s v="Medianamente confiable"/>
    <s v="Sí"/>
    <s v="Ninguna"/>
    <s v="Si"/>
  </r>
  <r>
    <d v="2025-06-09T07:26:18"/>
    <x v="0"/>
    <s v="Juan mauricio suaza solorzano "/>
    <s v="Poco importante"/>
    <s v="Solo cuando el bus se retrase"/>
    <s v="Reducción de preocupación por retrasos o imprevistos"/>
    <s v="Poco útil"/>
    <s v="Ver la ubicación del bus en tiempo real, Registro de rutas pasadas, Integración con el calendario escolar"/>
    <s v="Ambas"/>
    <s v="Muy confiable"/>
    <s v="Algunas veces"/>
    <s v="Ninguna "/>
    <s v="Tal vez"/>
  </r>
  <r>
    <d v="2025-06-09T07:26:25"/>
    <x v="0"/>
    <s v="juan david cabrera caballero"/>
    <s v="Moderadamente importante"/>
    <s v="A diario"/>
    <s v="Mayor tranquilidad y seguridad"/>
    <s v="Útil"/>
    <s v="Ver la ubicación del bus en tiempo real, Comunicación directa con el conductor o acudiente, Historial de recorridos"/>
    <s v="Aplicación móvil"/>
    <s v="Muy confiable"/>
    <s v="Algunas veces"/>
    <s v="Ninguna"/>
    <s v="Tal vez"/>
  </r>
  <r>
    <d v="2025-06-09T07:28:51"/>
    <x v="0"/>
    <s v="juan camilo fierro esquivel"/>
    <s v="Fundamental"/>
    <s v="A diario"/>
    <s v="Mayor tranquilidad y seguridad"/>
    <s v="Muy útil"/>
    <s v="Ver la ubicación del bus en tiempo real, Historial de recorridos"/>
    <s v="Aplicación móvil"/>
    <s v="Muy confiable"/>
    <s v="Algunas veces"/>
    <s v="una sugerencia seria que la aplicacion mandara notificaciones de ves en cuando"/>
    <s v="Tal vez"/>
  </r>
  <r>
    <d v="2025-06-09T07:39:27"/>
    <x v="0"/>
    <s v="Luis Alejandro "/>
    <s v="Moderadamente importante"/>
    <s v="Solo cuando el bus se retrase"/>
    <s v="Mayor tranquilidad y seguridad, Reducción de preocupación por retrasos o imprevistos"/>
    <s v="Útil"/>
    <s v="Saber si el bus está retrasado, Comunicación directa con el conductor o acudiente, Historial de recorridos"/>
    <s v="Página web"/>
    <s v="Poco confiable"/>
    <s v="Sí"/>
    <s v="Que respete la privacidad "/>
    <s v="No"/>
  </r>
  <r>
    <d v="2025-06-09T13:48:09"/>
    <x v="0"/>
    <s v="Juan Camilo Guilombo Osorio "/>
    <s v="Moderadamente importante"/>
    <s v="Solo cuando el bus se retrase"/>
    <s v="Mayor tranquilidad y seguridad, Mejor organización de tiempos al saber el momento exacto de llegada, Reducción de preocupación por retrasos o imprevistos"/>
    <s v="Útil"/>
    <s v="Saber si el bus está retrasado, Comunicación directa con el conductor o acudiente, Historial de recorridos, Registro de rutas pasadas"/>
    <s v="Aplicación móvil"/>
    <s v="Confiable"/>
    <s v="Rara vez"/>
    <s v="Que funcione sin internet "/>
    <s v="Tal vez"/>
  </r>
  <r>
    <d v="2025-06-09T14:21:09"/>
    <x v="0"/>
    <s v="Brayan Estiven Patiño Cabrera "/>
    <s v="Muy importante"/>
    <s v="A diario"/>
    <s v="Reducción de preocupación por retrasos o imprevistos"/>
    <s v="Útil"/>
    <s v="Ver la ubicación del bus en tiempo real, Historial de recorridos, Registro de rutas pasadas"/>
    <s v="Aplicación móvil"/>
    <s v="Esencial que sea extremadamente segura"/>
    <s v="Algunas veces"/>
    <s v="Ninguna, muy bien"/>
    <s v="Tal vez"/>
  </r>
  <r>
    <d v="2025-06-09T14:43:53"/>
    <x v="0"/>
    <s v="Miguel Angel Garcia Artunduaga"/>
    <s v="Moderadamente importante"/>
    <s v="A diario"/>
    <s v="Mayor tranquilidad y seguridad, Mejor organización de tiempos al saber el momento exacto de llegada, Reducción de preocupación por retrasos o imprevistos"/>
    <s v="Útil"/>
    <s v="Ver la ubicación del bus en tiempo real, Historial de recorridos, Integración con el calendario escolar"/>
    <s v="Aplicación móvil"/>
    <s v="Esencial que sea extremadamente segura"/>
    <s v="Nunca"/>
    <s v="Nose"/>
    <s v="Tal vez"/>
  </r>
  <r>
    <d v="2025-06-11T06:33:52"/>
    <x v="0"/>
    <s v="Daniel Alejandro Mora Plata "/>
    <s v="Nada importante"/>
    <s v="Rara vez"/>
    <s v="Mayor tranquilidad y seguridad, Mejor organización de tiempos al saber el momento exacto de llegada, Reducción de preocupación por retrasos o imprevistos"/>
    <s v="Útil"/>
    <s v="Ver la ubicación del bus en tiempo real, Saber si el bus está retrasado, Comunicación directa con el conductor o acudiente, Historial de recorridos"/>
    <s v="Ambas"/>
    <s v="Medianamente confiable"/>
    <s v="Sí"/>
    <s v="Ninguna, está bien"/>
    <s v="Si"/>
  </r>
  <r>
    <d v="2025-06-11T06:35:06"/>
    <x v="0"/>
    <s v="Nicole  Dayana Ramirez Vargas"/>
    <s v="Muy importante"/>
    <s v="Solo cuando el bus se retrase"/>
    <s v="Mayor tranquilidad y seguridad"/>
    <s v="Muy útil"/>
    <s v="Ver la ubicación del bus en tiempo real"/>
    <s v="Aplicación móvil"/>
    <s v="Medianamente confiable"/>
    <s v="Sí"/>
    <s v="niguna"/>
    <s v="Si"/>
  </r>
  <r>
    <d v="2025-06-11T06:35:37"/>
    <x v="0"/>
    <s v="jose sebastian suarez cumaco"/>
    <s v="Poco importante"/>
    <s v="Rara vez"/>
    <s v="Reducción de preocupación por retrasos o imprevistos"/>
    <s v="Innecesaria"/>
    <s v="Historial de recorridos, Registro de rutas pasadas, Integración con el calendario escolar"/>
    <s v="Aplicación móvil"/>
    <s v="Confiable"/>
    <s v="Nunca"/>
    <s v="esta bien asi"/>
    <s v="Tal vez"/>
  </r>
  <r>
    <d v="2025-06-11T06:35:49"/>
    <x v="0"/>
    <s v="juan esteban acosta ardila"/>
    <s v="Fundamental"/>
    <s v="Solo cuando el bus se retrase"/>
    <s v="Mayor tranquilidad y seguridad, Mejor organización de tiempos al saber el momento exacto de llegada"/>
    <s v="Muy útil"/>
    <s v="Ver la ubicación del bus en tiempo real, Saber si el bus está retrasado, Registro de rutas pasadas"/>
    <s v="Aplicación móvil"/>
    <s v="Confiable"/>
    <s v="Algunas veces"/>
    <s v="que sea practica"/>
    <s v="Si"/>
  </r>
  <r>
    <d v="2025-06-11T06:35:52"/>
    <x v="0"/>
    <s v="Juan Manuel Gomez Suarez"/>
    <s v="Muy importante"/>
    <s v="Solo cuando el bus se retrase"/>
    <s v="Mayor tranquilidad y seguridad, Mejor organización de tiempos al saber el momento exacto de llegada"/>
    <s v="Muy útil"/>
    <s v="Ver la ubicación del bus en tiempo real, Saber si el bus está retrasado, Comunicación directa con el conductor o acudiente"/>
    <s v="Ambas"/>
    <s v="Confiable"/>
    <s v="Algunas veces"/>
    <s v="ninguna, me parece que tiene todo "/>
    <s v="Si"/>
  </r>
  <r>
    <d v="2025-06-11T06:38:10"/>
    <x v="0"/>
    <s v="Thiago Fabian Rojas Guevara "/>
    <s v="Moderadamente importante"/>
    <s v="Solo cuando el bus se retrase"/>
    <s v="Mayor tranquilidad y seguridad, Mejor organización de tiempos al saber el momento exacto de llegada, Reducción de preocupación por retrasos o imprevistos"/>
    <s v="Útil"/>
    <s v="Ver la ubicación del bus en tiempo real, Comunicación directa con el conductor o acudiente"/>
    <s v="Aplicación móvil"/>
    <s v="Poco confiable"/>
    <s v="Rara vez"/>
    <s v="Esta perfecta"/>
    <s v="Si"/>
  </r>
  <r>
    <d v="2025-06-11T06:42:14"/>
    <x v="0"/>
    <s v="Johan Felipe Repizo Aguirre "/>
    <s v="Muy importante"/>
    <s v="A diario"/>
    <s v="Mayor tranquilidad y seguridad"/>
    <s v="Muy útil"/>
    <s v="Ver la ubicación del bus en tiempo real, Saber si el bus está retrasado, Historial de recorridos"/>
    <s v="Ambas"/>
    <s v="Esencial que sea extremadamente segura"/>
    <s v="Algunas veces"/>
    <s v="Ninguna "/>
    <s v="Si"/>
  </r>
  <r>
    <d v="2025-06-11T06:43:37"/>
    <x v="0"/>
    <s v="Juan Esteban Cortes Parra "/>
    <s v="Fundamental"/>
    <s v="A diario"/>
    <s v="Mayor tranquilidad y seguridad, Mejor organización de tiempos al saber el momento exacto de llegada, Reducción de preocupación por retrasos o imprevistos"/>
    <s v="Muy útil"/>
    <s v="Ver la ubicación del bus en tiempo real, Comunicación directa con el conductor o acudiente, Historial de recorridos"/>
    <s v="Ambas"/>
    <s v="Esencial que sea extremadamente segura"/>
    <s v="Nunca"/>
    <s v="Pues solo que fuera que tenga buen rendimiento "/>
    <s v="Si"/>
  </r>
  <r>
    <d v="2025-06-11T06:44:11"/>
    <x v="0"/>
    <s v="David Santiago Erez Rodriguez "/>
    <s v="Fundamental"/>
    <s v="Solo cuando el bus se retrase"/>
    <s v="Mayor tranquilidad y seguridad, Mejor organización de tiempos al saber el momento exacto de llegada, Reducción de preocupación por retrasos o imprevistos"/>
    <s v="Útil"/>
    <s v="Ver la ubicación del bus en tiempo real, Saber si el bus está retrasado"/>
    <s v="Aplicación móvil"/>
    <s v="Esencial que sea extremadamente segura"/>
    <s v="Nunca"/>
    <s v="Que tanga servicios especiales para las escuelas "/>
    <s v="No"/>
  </r>
  <r>
    <d v="2025-06-11T06:46:45"/>
    <x v="0"/>
    <s v="Jonattan Steven Rizo Solano"/>
    <s v="Moderadamente importante"/>
    <s v="A diario"/>
    <s v="Mayor tranquilidad y seguridad, Mejor organización de tiempos al saber el momento exacto de llegada"/>
    <s v="Útil"/>
    <s v="Ver la ubicación del bus en tiempo real, Saber si el bus está retrasado, Historial de recorridos"/>
    <s v="Aplicación móvil"/>
    <s v="Confiable"/>
    <s v="Sí"/>
    <s v="Por ahora ninguno"/>
    <s v="Si"/>
  </r>
  <r>
    <d v="2025-06-11T06:48:24"/>
    <x v="0"/>
    <s v="Johan Sebastián Yucumá Molano "/>
    <s v="Fundamental"/>
    <s v="A diario"/>
    <s v="Mejor organización de tiempos al saber el momento exacto de llegada"/>
    <s v="Útil"/>
    <s v="Ver la ubicación del bus en tiempo real, Saber si el bus está retrasado, Historial de recorridos, Registro de rutas pasadas"/>
    <s v="Aplicación móvil"/>
    <s v="Esencial que sea extremadamente segura"/>
    <s v="Rara vez"/>
    <s v="Que aparte de rutas escolares también muestre los desastres naturales que probablemente interferirian con la ruta"/>
    <s v="Tal vez"/>
  </r>
  <r>
    <d v="2025-06-11T06:53:23"/>
    <x v="0"/>
    <s v="Justin Daniela Bahamon "/>
    <s v="Muy importante"/>
    <s v="A diario"/>
    <s v="Mayor tranquilidad y seguridad"/>
    <s v="Muy útil"/>
    <s v="Ver la ubicación del bus en tiempo real, Comunicación directa con el conductor o acudiente, Historial de recorridos"/>
    <s v="Aplicación móvil"/>
    <s v="Muy confiable"/>
    <s v="Nunca"/>
    <s v="Que te notifique si algo anda mal "/>
    <s v="No"/>
  </r>
  <r>
    <d v="2025-06-11T08:31:55"/>
    <x v="0"/>
    <s v="Yully Katherine Díaz Salas "/>
    <s v="Moderadamente importante"/>
    <s v="Solo cuando el bus se retrase"/>
    <s v="Mejor organización de tiempos al saber el momento exacto de llegada"/>
    <s v="Poco útil"/>
    <s v="Comunicación directa con el conductor o acudiente"/>
    <s v="Página web"/>
    <s v="Medianamente confiable"/>
    <s v="Algunas veces"/>
    <s v="No tengo sugerencias "/>
    <s v="Si"/>
  </r>
  <r>
    <d v="2025-06-11T08:58:43"/>
    <x v="0"/>
    <s v="Willianni Godín Pérez "/>
    <s v="Muy importante"/>
    <s v="A diario"/>
    <s v="Mayor tranquilidad y seguridad, Reducción de preocupación por retrasos o imprevistos"/>
    <s v="Muy útil"/>
    <s v="Ver la ubicación del bus en tiempo real, Saber si el bus está retrasado, Comunicación directa con el conductor o acudiente"/>
    <s v="Aplicación móvil"/>
    <s v="Esencial que sea extremadamente segura"/>
    <s v="Nunca"/>
    <s v="Realizar una encuesta cada trimestre para los estudiantes y padres, y así poder saber cómo se sienten y qué sugerencias tienen"/>
    <s v="No"/>
  </r>
  <r>
    <d v="2025-06-11T09:07:24"/>
    <x v="1"/>
    <s v="Kelly Yohana Ramirez Morales "/>
    <s v="Fundamental"/>
    <s v="A diario"/>
    <s v="Mayor tranquilidad y seguridad, Mejor organización de tiempos al saber el momento exacto de llegada, Reducción de preocupación por retrasos o imprevistos"/>
    <s v="Muy útil"/>
    <s v="Ver la ubicación del bus en tiempo real, Saber si el bus está retrasado, Comunicación directa con el conductor o acudiente, Historial de recorridos, Registro de rutas pasadas, Integración con el calendario escolar"/>
    <s v="Ambas"/>
    <s v="Esencial que sea extremadamente segura"/>
    <s v="Sí"/>
    <s v="Ninguna "/>
    <s v="Si"/>
  </r>
  <r>
    <d v="2025-06-11T09:07:36"/>
    <x v="1"/>
    <s v="Juan esteban rojas ibarra"/>
    <s v="Fundamental"/>
    <s v="A diario"/>
    <s v="Mayor tranquilidad y seguridad, Mejor organización de tiempos al saber el momento exacto de llegada"/>
    <s v="Muy útil"/>
    <s v="Ver la ubicación del bus en tiempo real"/>
    <s v="Ambas"/>
    <s v="Muy confiable"/>
    <s v="Algunas veces"/>
    <s v="Crear cuentas aparte de cada recorrido"/>
    <s v="Tal vez"/>
  </r>
  <r>
    <d v="2025-06-11T09:09:12"/>
    <x v="1"/>
    <s v="JUAN PABLO ROJAS"/>
    <s v="Fundamental"/>
    <s v="A diario"/>
    <s v="Mayor tranquilidad y seguridad, Mejor organización de tiempos al saber el momento exacto de llegada, Reducción de preocupación por retrasos o imprevistos"/>
    <s v="Muy útil"/>
    <s v="Ver la ubicación del bus en tiempo real, Saber si el bus está retrasado, Comunicación directa con el conductor o acudiente, Historial de recorridos, Integración con el calendario escolar"/>
    <s v="Ambas"/>
    <s v="Muy confiable"/>
    <s v="Sí"/>
    <s v="Que sea de fácil uso y la compatibilidad en móviles sea para Androide y Iphone"/>
    <s v="S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5-06-09T07:22:55"/>
    <s v="Estudiante"/>
    <s v="maria de los angeles olaya garcia "/>
    <x v="0"/>
    <s v="A diario"/>
    <s v="Mayor tranquilidad y seguridad"/>
    <s v="Muy útil"/>
    <s v="Ver la ubicación del bus en tiempo real, Saber si el bus está retrasado, Comunicación directa con el conductor o acudiente, Historial de recorridos"/>
    <s v="Aplicación móvil"/>
    <s v="Esencial que sea extremadamente segura"/>
    <s v="Sí"/>
    <s v="que tenga acceso a numeros de contacto en caso de emergencias "/>
    <s v="Si"/>
  </r>
  <r>
    <d v="2025-06-09T07:23:26"/>
    <s v="Estudiante"/>
    <s v="Jhon Jairo Cortez VArgas"/>
    <x v="0"/>
    <s v="Solo cuando el bus se retrase"/>
    <s v="Mayor tranquilidad y seguridad"/>
    <s v="Útil"/>
    <s v="Ver la ubicación del bus en tiempo real, Saber si el bus está retrasado, Historial de recorridos, Registro de rutas pasadas"/>
    <s v="Aplicación móvil"/>
    <s v="Muy confiable"/>
    <s v="Algunas veces"/>
    <s v="Que en caso de emergencias se pueda llamar a la policia, bomberos o hospitales desde la app"/>
    <s v="Si"/>
  </r>
  <r>
    <d v="2025-06-09T07:24:12"/>
    <s v="Estudiante"/>
    <s v="Juan David Arboleda Perdomo"/>
    <x v="1"/>
    <s v="Solo cuando el bus se retrase"/>
    <s v="Mayor tranquilidad y seguridad, Mejor organización de tiempos al saber el momento exacto de llegada, Reducción de preocupación por retrasos o imprevistos"/>
    <s v="Muy útil"/>
    <s v="Ver la ubicación del bus en tiempo real, Historial de recorridos, Registro de rutas pasadas, Integración con el calendario escolar"/>
    <s v="Aplicación móvil"/>
    <s v="Esencial que sea extremadamente segura"/>
    <s v="Rara vez"/>
    <s v="Que cuando notifique que mi hijo dejo el bus suene bachata"/>
    <s v="Si"/>
  </r>
  <r>
    <d v="2025-06-09T07:24:18"/>
    <s v="Estudiante"/>
    <s v="JUAN ESTEBAN OME"/>
    <x v="0"/>
    <s v="Solo cuando el bus se retrase"/>
    <s v="Mayor tranquilidad y seguridad, Reducción de preocupación por retrasos o imprevistos"/>
    <s v="Útil"/>
    <s v="Ver la ubicación del bus en tiempo real, Comunicación directa con el conductor o acudiente, Integración con el calendario escolar"/>
    <s v="Ambas"/>
    <s v="Esencial que sea extremadamente segura"/>
    <s v="Nunca"/>
    <s v="IMPLEMENTAR RUTA ESCOLAR"/>
    <s v="Tal vez"/>
  </r>
  <r>
    <d v="2025-06-09T07:25:12"/>
    <s v="Estudiante"/>
    <s v="Diego Andrés Gutiérrez Nuñez"/>
    <x v="1"/>
    <s v="A diario"/>
    <s v="Mayor tranquilidad y seguridad"/>
    <s v="Muy útil"/>
    <s v="Ver la ubicación del bus en tiempo real, Saber si el bus está retrasado, Historial de recorridos, Registro de rutas pasadas"/>
    <s v="Ambas"/>
    <s v="Confiable"/>
    <s v="Algunas veces"/>
    <s v="q cuando mi hijo se baje del bus, pongamos alertas personalizadas como phonksito"/>
    <s v="Si"/>
  </r>
  <r>
    <d v="2025-06-09T07:25:25"/>
    <s v="Estudiante"/>
    <s v="Keneth Santiago Rubiano Silva "/>
    <x v="0"/>
    <s v="Solo cuando el bus se retrase"/>
    <s v="Mayor tranquilidad y seguridad, Mejor organización de tiempos al saber el momento exacto de llegada"/>
    <s v="Poco útil"/>
    <s v="Historial de recorridos"/>
    <s v="Ambas"/>
    <s v="Medianamente confiable"/>
    <s v="Sí"/>
    <s v="Ninguna"/>
    <s v="Si"/>
  </r>
  <r>
    <d v="2025-06-09T07:26:18"/>
    <s v="Estudiante"/>
    <s v="Juan mauricio suaza solorzano "/>
    <x v="2"/>
    <s v="Solo cuando el bus se retrase"/>
    <s v="Reducción de preocupación por retrasos o imprevistos"/>
    <s v="Poco útil"/>
    <s v="Ver la ubicación del bus en tiempo real, Registro de rutas pasadas, Integración con el calendario escolar"/>
    <s v="Ambas"/>
    <s v="Muy confiable"/>
    <s v="Algunas veces"/>
    <s v="Ninguna "/>
    <s v="Tal vez"/>
  </r>
  <r>
    <d v="2025-06-09T07:26:25"/>
    <s v="Estudiante"/>
    <s v="juan david cabrera caballero"/>
    <x v="0"/>
    <s v="A diario"/>
    <s v="Mayor tranquilidad y seguridad"/>
    <s v="Útil"/>
    <s v="Ver la ubicación del bus en tiempo real, Comunicación directa con el conductor o acudiente, Historial de recorridos"/>
    <s v="Aplicación móvil"/>
    <s v="Muy confiable"/>
    <s v="Algunas veces"/>
    <s v="Ninguna"/>
    <s v="Tal vez"/>
  </r>
  <r>
    <d v="2025-06-09T07:28:51"/>
    <s v="Estudiante"/>
    <s v="juan camilo fierro esquivel"/>
    <x v="3"/>
    <s v="A diario"/>
    <s v="Mayor tranquilidad y seguridad"/>
    <s v="Muy útil"/>
    <s v="Ver la ubicación del bus en tiempo real, Historial de recorridos"/>
    <s v="Aplicación móvil"/>
    <s v="Muy confiable"/>
    <s v="Algunas veces"/>
    <s v="una sugerencia seria que la aplicacion mandara notificaciones de ves en cuando"/>
    <s v="Tal vez"/>
  </r>
  <r>
    <d v="2025-06-09T07:39:27"/>
    <s v="Estudiante"/>
    <s v="Luis Alejandro "/>
    <x v="0"/>
    <s v="Solo cuando el bus se retrase"/>
    <s v="Mayor tranquilidad y seguridad, Reducción de preocupación por retrasos o imprevistos"/>
    <s v="Útil"/>
    <s v="Saber si el bus está retrasado, Comunicación directa con el conductor o acudiente, Historial de recorridos"/>
    <s v="Página web"/>
    <s v="Poco confiable"/>
    <s v="Sí"/>
    <s v="Que respete la privacidad "/>
    <s v="No"/>
  </r>
  <r>
    <d v="2025-06-09T13:48:09"/>
    <s v="Estudiante"/>
    <s v="Juan Camilo Guilombo Osorio "/>
    <x v="0"/>
    <s v="Solo cuando el bus se retrase"/>
    <s v="Mayor tranquilidad y seguridad, Mejor organización de tiempos al saber el momento exacto de llegada, Reducción de preocupación por retrasos o imprevistos"/>
    <s v="Útil"/>
    <s v="Saber si el bus está retrasado, Comunicación directa con el conductor o acudiente, Historial de recorridos, Registro de rutas pasadas"/>
    <s v="Aplicación móvil"/>
    <s v="Confiable"/>
    <s v="Rara vez"/>
    <s v="Que funcione sin internet "/>
    <s v="Tal vez"/>
  </r>
  <r>
    <d v="2025-06-09T14:21:09"/>
    <s v="Estudiante"/>
    <s v="Brayan Estiven Patiño Cabrera "/>
    <x v="1"/>
    <s v="A diario"/>
    <s v="Reducción de preocupación por retrasos o imprevistos"/>
    <s v="Útil"/>
    <s v="Ver la ubicación del bus en tiempo real, Historial de recorridos, Registro de rutas pasadas"/>
    <s v="Aplicación móvil"/>
    <s v="Esencial que sea extremadamente segura"/>
    <s v="Algunas veces"/>
    <s v="Ninguna, muy bien"/>
    <s v="Tal vez"/>
  </r>
  <r>
    <d v="2025-06-09T14:43:53"/>
    <s v="Estudiante"/>
    <s v="Miguel Angel Garcia Artunduaga"/>
    <x v="0"/>
    <s v="A diario"/>
    <s v="Mayor tranquilidad y seguridad, Mejor organización de tiempos al saber el momento exacto de llegada, Reducción de preocupación por retrasos o imprevistos"/>
    <s v="Útil"/>
    <s v="Ver la ubicación del bus en tiempo real, Historial de recorridos, Integración con el calendario escolar"/>
    <s v="Aplicación móvil"/>
    <s v="Esencial que sea extremadamente segura"/>
    <s v="Nunca"/>
    <s v="Nose"/>
    <s v="Tal vez"/>
  </r>
  <r>
    <d v="2025-06-11T06:33:52"/>
    <s v="Estudiante"/>
    <s v="Daniel Alejandro Mora Plata "/>
    <x v="4"/>
    <s v="Rara vez"/>
    <s v="Mayor tranquilidad y seguridad, Mejor organización de tiempos al saber el momento exacto de llegada, Reducción de preocupación por retrasos o imprevistos"/>
    <s v="Útil"/>
    <s v="Ver la ubicación del bus en tiempo real, Saber si el bus está retrasado, Comunicación directa con el conductor o acudiente, Historial de recorridos"/>
    <s v="Ambas"/>
    <s v="Medianamente confiable"/>
    <s v="Sí"/>
    <s v="Ninguna, está bien"/>
    <s v="Si"/>
  </r>
  <r>
    <d v="2025-06-11T06:35:06"/>
    <s v="Estudiante"/>
    <s v="Nicole  Dayana Ramirez Vargas"/>
    <x v="1"/>
    <s v="Solo cuando el bus se retrase"/>
    <s v="Mayor tranquilidad y seguridad"/>
    <s v="Muy útil"/>
    <s v="Ver la ubicación del bus en tiempo real"/>
    <s v="Aplicación móvil"/>
    <s v="Medianamente confiable"/>
    <s v="Sí"/>
    <s v="niguna"/>
    <s v="Si"/>
  </r>
  <r>
    <d v="2025-06-11T06:35:37"/>
    <s v="Estudiante"/>
    <s v="jose sebastian suarez cumaco"/>
    <x v="2"/>
    <s v="Rara vez"/>
    <s v="Reducción de preocupación por retrasos o imprevistos"/>
    <s v="Innecesaria"/>
    <s v="Historial de recorridos, Registro de rutas pasadas, Integración con el calendario escolar"/>
    <s v="Aplicación móvil"/>
    <s v="Confiable"/>
    <s v="Nunca"/>
    <s v="esta bien asi"/>
    <s v="Tal vez"/>
  </r>
  <r>
    <d v="2025-06-11T06:35:49"/>
    <s v="Estudiante"/>
    <s v="juan esteban acosta ardila"/>
    <x v="3"/>
    <s v="Solo cuando el bus se retrase"/>
    <s v="Mayor tranquilidad y seguridad, Mejor organización de tiempos al saber el momento exacto de llegada"/>
    <s v="Muy útil"/>
    <s v="Ver la ubicación del bus en tiempo real, Saber si el bus está retrasado, Registro de rutas pasadas"/>
    <s v="Aplicación móvil"/>
    <s v="Confiable"/>
    <s v="Algunas veces"/>
    <s v="que sea practica"/>
    <s v="Si"/>
  </r>
  <r>
    <d v="2025-06-11T06:35:52"/>
    <s v="Estudiante"/>
    <s v="Juan Manuel Gomez Suarez"/>
    <x v="1"/>
    <s v="Solo cuando el bus se retrase"/>
    <s v="Mayor tranquilidad y seguridad, Mejor organización de tiempos al saber el momento exacto de llegada"/>
    <s v="Muy útil"/>
    <s v="Ver la ubicación del bus en tiempo real, Saber si el bus está retrasado, Comunicación directa con el conductor o acudiente"/>
    <s v="Ambas"/>
    <s v="Confiable"/>
    <s v="Algunas veces"/>
    <s v="ninguna, me parece que tiene todo "/>
    <s v="Si"/>
  </r>
  <r>
    <d v="2025-06-11T06:38:10"/>
    <s v="Estudiante"/>
    <s v="Thiago Fabian Rojas Guevara "/>
    <x v="0"/>
    <s v="Solo cuando el bus se retrase"/>
    <s v="Mayor tranquilidad y seguridad, Mejor organización de tiempos al saber el momento exacto de llegada, Reducción de preocupación por retrasos o imprevistos"/>
    <s v="Útil"/>
    <s v="Ver la ubicación del bus en tiempo real, Comunicación directa con el conductor o acudiente"/>
    <s v="Aplicación móvil"/>
    <s v="Poco confiable"/>
    <s v="Rara vez"/>
    <s v="Esta perfecta"/>
    <s v="Si"/>
  </r>
  <r>
    <d v="2025-06-11T06:42:14"/>
    <s v="Estudiante"/>
    <s v="Johan Felipe Repizo Aguirre "/>
    <x v="1"/>
    <s v="A diario"/>
    <s v="Mayor tranquilidad y seguridad"/>
    <s v="Muy útil"/>
    <s v="Ver la ubicación del bus en tiempo real, Saber si el bus está retrasado, Historial de recorridos"/>
    <s v="Ambas"/>
    <s v="Esencial que sea extremadamente segura"/>
    <s v="Algunas veces"/>
    <s v="Ninguna "/>
    <s v="Si"/>
  </r>
  <r>
    <d v="2025-06-11T06:43:37"/>
    <s v="Estudiante"/>
    <s v="Juan Esteban Cortes Parra "/>
    <x v="3"/>
    <s v="A diario"/>
    <s v="Mayor tranquilidad y seguridad, Mejor organización de tiempos al saber el momento exacto de llegada, Reducción de preocupación por retrasos o imprevistos"/>
    <s v="Muy útil"/>
    <s v="Ver la ubicación del bus en tiempo real, Comunicación directa con el conductor o acudiente, Historial de recorridos"/>
    <s v="Ambas"/>
    <s v="Esencial que sea extremadamente segura"/>
    <s v="Nunca"/>
    <s v="Pues solo que fuera que tenga buen rendimiento "/>
    <s v="Si"/>
  </r>
  <r>
    <d v="2025-06-11T06:44:11"/>
    <s v="Estudiante"/>
    <s v="David Santiago Erez Rodriguez "/>
    <x v="3"/>
    <s v="Solo cuando el bus se retrase"/>
    <s v="Mayor tranquilidad y seguridad, Mejor organización de tiempos al saber el momento exacto de llegada, Reducción de preocupación por retrasos o imprevistos"/>
    <s v="Útil"/>
    <s v="Ver la ubicación del bus en tiempo real, Saber si el bus está retrasado"/>
    <s v="Aplicación móvil"/>
    <s v="Esencial que sea extremadamente segura"/>
    <s v="Nunca"/>
    <s v="Que tanga servicios especiales para las escuelas "/>
    <s v="No"/>
  </r>
  <r>
    <d v="2025-06-11T06:46:45"/>
    <s v="Estudiante"/>
    <s v="Jonattan Steven Rizo Solano"/>
    <x v="0"/>
    <s v="A diario"/>
    <s v="Mayor tranquilidad y seguridad, Mejor organización de tiempos al saber el momento exacto de llegada"/>
    <s v="Útil"/>
    <s v="Ver la ubicación del bus en tiempo real, Saber si el bus está retrasado, Historial de recorridos"/>
    <s v="Aplicación móvil"/>
    <s v="Confiable"/>
    <s v="Sí"/>
    <s v="Por ahora ninguno"/>
    <s v="Si"/>
  </r>
  <r>
    <d v="2025-06-11T06:48:24"/>
    <s v="Estudiante"/>
    <s v="Johan Sebastián Yucumá Molano "/>
    <x v="3"/>
    <s v="A diario"/>
    <s v="Mejor organización de tiempos al saber el momento exacto de llegada"/>
    <s v="Útil"/>
    <s v="Ver la ubicación del bus en tiempo real, Saber si el bus está retrasado, Historial de recorridos, Registro de rutas pasadas"/>
    <s v="Aplicación móvil"/>
    <s v="Esencial que sea extremadamente segura"/>
    <s v="Rara vez"/>
    <s v="Que aparte de rutas escolares también muestre los desastres naturales que probablemente interferirian con la ruta"/>
    <s v="Tal vez"/>
  </r>
  <r>
    <d v="2025-06-11T06:53:23"/>
    <s v="Estudiante"/>
    <s v="Justin Daniela Bahamon "/>
    <x v="1"/>
    <s v="A diario"/>
    <s v="Mayor tranquilidad y seguridad"/>
    <s v="Muy útil"/>
    <s v="Ver la ubicación del bus en tiempo real, Comunicación directa con el conductor o acudiente, Historial de recorridos"/>
    <s v="Aplicación móvil"/>
    <s v="Muy confiable"/>
    <s v="Nunca"/>
    <s v="Que te notifique si algo anda mal "/>
    <s v="No"/>
  </r>
  <r>
    <d v="2025-06-11T08:31:55"/>
    <s v="Estudiante"/>
    <s v="Yully Katherine Díaz Salas "/>
    <x v="0"/>
    <s v="Solo cuando el bus se retrase"/>
    <s v="Mejor organización de tiempos al saber el momento exacto de llegada"/>
    <s v="Poco útil"/>
    <s v="Comunicación directa con el conductor o acudiente"/>
    <s v="Página web"/>
    <s v="Medianamente confiable"/>
    <s v="Algunas veces"/>
    <s v="No tengo sugerencias "/>
    <s v="Si"/>
  </r>
  <r>
    <d v="2025-06-11T08:58:43"/>
    <s v="Estudiante"/>
    <s v="Willianni Godín Pérez "/>
    <x v="1"/>
    <s v="A diario"/>
    <s v="Mayor tranquilidad y seguridad, Reducción de preocupación por retrasos o imprevistos"/>
    <s v="Muy útil"/>
    <s v="Ver la ubicación del bus en tiempo real, Saber si el bus está retrasado, Comunicación directa con el conductor o acudiente"/>
    <s v="Aplicación móvil"/>
    <s v="Esencial que sea extremadamente segura"/>
    <s v="Nunca"/>
    <s v="Realizar una encuesta cada trimestre para los estudiantes y padres, y así poder saber cómo se sienten y qué sugerencias tienen"/>
    <s v="No"/>
  </r>
  <r>
    <d v="2025-06-11T09:07:24"/>
    <s v="Padre / Madre / Acudiente"/>
    <s v="Kelly Yohana Ramirez Morales "/>
    <x v="3"/>
    <s v="A diario"/>
    <s v="Mayor tranquilidad y seguridad, Mejor organización de tiempos al saber el momento exacto de llegada, Reducción de preocupación por retrasos o imprevistos"/>
    <s v="Muy útil"/>
    <s v="Ver la ubicación del bus en tiempo real, Saber si el bus está retrasado, Comunicación directa con el conductor o acudiente, Historial de recorridos, Registro de rutas pasadas, Integración con el calendario escolar"/>
    <s v="Ambas"/>
    <s v="Esencial que sea extremadamente segura"/>
    <s v="Sí"/>
    <s v="Ninguna "/>
    <s v="Si"/>
  </r>
  <r>
    <d v="2025-06-11T09:07:36"/>
    <s v="Padre / Madre / Acudiente"/>
    <s v="Juan esteban rojas ibarra"/>
    <x v="3"/>
    <s v="A diario"/>
    <s v="Mayor tranquilidad y seguridad, Mejor organización de tiempos al saber el momento exacto de llegada"/>
    <s v="Muy útil"/>
    <s v="Ver la ubicación del bus en tiempo real"/>
    <s v="Ambas"/>
    <s v="Muy confiable"/>
    <s v="Algunas veces"/>
    <s v="Crear cuentas aparte de cada recorrido"/>
    <s v="Tal vez"/>
  </r>
  <r>
    <d v="2025-06-11T09:09:12"/>
    <s v="Padre / Madre / Acudiente"/>
    <s v="JUAN PABLO ROJAS"/>
    <x v="3"/>
    <s v="A diario"/>
    <s v="Mayor tranquilidad y seguridad, Mejor organización de tiempos al saber el momento exacto de llegada, Reducción de preocupación por retrasos o imprevistos"/>
    <s v="Muy útil"/>
    <s v="Ver la ubicación del bus en tiempo real, Saber si el bus está retrasado, Comunicación directa con el conductor o acudiente, Historial de recorridos, Integración con el calendario escolar"/>
    <s v="Ambas"/>
    <s v="Muy confiable"/>
    <s v="Sí"/>
    <s v="Que sea de fácil uso y la compatibilidad en móviles sea para Androide y Iphone"/>
    <s v="Si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5-06-09T07:22:55"/>
    <s v="Estudiante"/>
    <s v="maria de los angeles olaya garcia "/>
    <s v="Moderadamente importante"/>
    <x v="0"/>
    <s v="Mayor tranquilidad y seguridad"/>
    <s v="Muy útil"/>
    <s v="Ver la ubicación del bus en tiempo real, Saber si el bus está retrasado, Comunicación directa con el conductor o acudiente, Historial de recorridos"/>
    <s v="Aplicación móvil"/>
    <s v="Esencial que sea extremadamente segura"/>
    <s v="Sí"/>
    <s v="que tenga acceso a numeros de contacto en caso de emergencias "/>
    <s v="Si"/>
  </r>
  <r>
    <d v="2025-06-09T07:23:26"/>
    <s v="Estudiante"/>
    <s v="Jhon Jairo Cortez VArgas"/>
    <s v="Moderadamente importante"/>
    <x v="1"/>
    <s v="Mayor tranquilidad y seguridad"/>
    <s v="Útil"/>
    <s v="Ver la ubicación del bus en tiempo real, Saber si el bus está retrasado, Historial de recorridos, Registro de rutas pasadas"/>
    <s v="Aplicación móvil"/>
    <s v="Muy confiable"/>
    <s v="Algunas veces"/>
    <s v="Que en caso de emergencias se pueda llamar a la policia, bomberos o hospitales desde la app"/>
    <s v="Si"/>
  </r>
  <r>
    <d v="2025-06-09T07:24:12"/>
    <s v="Estudiante"/>
    <s v="Juan David Arboleda Perdomo"/>
    <s v="Muy importante"/>
    <x v="1"/>
    <s v="Mayor tranquilidad y seguridad, Mejor organización de tiempos al saber el momento exacto de llegada, Reducción de preocupación por retrasos o imprevistos"/>
    <s v="Muy útil"/>
    <s v="Ver la ubicación del bus en tiempo real, Historial de recorridos, Registro de rutas pasadas, Integración con el calendario escolar"/>
    <s v="Aplicación móvil"/>
    <s v="Esencial que sea extremadamente segura"/>
    <s v="Rara vez"/>
    <s v="Que cuando notifique que mi hijo dejo el bus suene bachata"/>
    <s v="Si"/>
  </r>
  <r>
    <d v="2025-06-09T07:24:18"/>
    <s v="Estudiante"/>
    <s v="JUAN ESTEBAN OME"/>
    <s v="Moderadamente importante"/>
    <x v="1"/>
    <s v="Mayor tranquilidad y seguridad, Reducción de preocupación por retrasos o imprevistos"/>
    <s v="Útil"/>
    <s v="Ver la ubicación del bus en tiempo real, Comunicación directa con el conductor o acudiente, Integración con el calendario escolar"/>
    <s v="Ambas"/>
    <s v="Esencial que sea extremadamente segura"/>
    <s v="Nunca"/>
    <s v="IMPLEMENTAR RUTA ESCOLAR"/>
    <s v="Tal vez"/>
  </r>
  <r>
    <d v="2025-06-09T07:25:12"/>
    <s v="Estudiante"/>
    <s v="Diego Andrés Gutiérrez Nuñez"/>
    <s v="Muy importante"/>
    <x v="0"/>
    <s v="Mayor tranquilidad y seguridad"/>
    <s v="Muy útil"/>
    <s v="Ver la ubicación del bus en tiempo real, Saber si el bus está retrasado, Historial de recorridos, Registro de rutas pasadas"/>
    <s v="Ambas"/>
    <s v="Confiable"/>
    <s v="Algunas veces"/>
    <s v="q cuando mi hijo se baje del bus, pongamos alertas personalizadas como phonksito"/>
    <s v="Si"/>
  </r>
  <r>
    <d v="2025-06-09T07:25:25"/>
    <s v="Estudiante"/>
    <s v="Keneth Santiago Rubiano Silva "/>
    <s v="Moderadamente importante"/>
    <x v="1"/>
    <s v="Mayor tranquilidad y seguridad, Mejor organización de tiempos al saber el momento exacto de llegada"/>
    <s v="Poco útil"/>
    <s v="Historial de recorridos"/>
    <s v="Ambas"/>
    <s v="Medianamente confiable"/>
    <s v="Sí"/>
    <s v="Ninguna"/>
    <s v="Si"/>
  </r>
  <r>
    <d v="2025-06-09T07:26:18"/>
    <s v="Estudiante"/>
    <s v="Juan mauricio suaza solorzano "/>
    <s v="Poco importante"/>
    <x v="1"/>
    <s v="Reducción de preocupación por retrasos o imprevistos"/>
    <s v="Poco útil"/>
    <s v="Ver la ubicación del bus en tiempo real, Registro de rutas pasadas, Integración con el calendario escolar"/>
    <s v="Ambas"/>
    <s v="Muy confiable"/>
    <s v="Algunas veces"/>
    <s v="Ninguna "/>
    <s v="Tal vez"/>
  </r>
  <r>
    <d v="2025-06-09T07:26:25"/>
    <s v="Estudiante"/>
    <s v="juan david cabrera caballero"/>
    <s v="Moderadamente importante"/>
    <x v="0"/>
    <s v="Mayor tranquilidad y seguridad"/>
    <s v="Útil"/>
    <s v="Ver la ubicación del bus en tiempo real, Comunicación directa con el conductor o acudiente, Historial de recorridos"/>
    <s v="Aplicación móvil"/>
    <s v="Muy confiable"/>
    <s v="Algunas veces"/>
    <s v="Ninguna"/>
    <s v="Tal vez"/>
  </r>
  <r>
    <d v="2025-06-09T07:28:51"/>
    <s v="Estudiante"/>
    <s v="juan camilo fierro esquivel"/>
    <s v="Fundamental"/>
    <x v="0"/>
    <s v="Mayor tranquilidad y seguridad"/>
    <s v="Muy útil"/>
    <s v="Ver la ubicación del bus en tiempo real, Historial de recorridos"/>
    <s v="Aplicación móvil"/>
    <s v="Muy confiable"/>
    <s v="Algunas veces"/>
    <s v="una sugerencia seria que la aplicacion mandara notificaciones de ves en cuando"/>
    <s v="Tal vez"/>
  </r>
  <r>
    <d v="2025-06-09T07:39:27"/>
    <s v="Estudiante"/>
    <s v="Luis Alejandro "/>
    <s v="Moderadamente importante"/>
    <x v="1"/>
    <s v="Mayor tranquilidad y seguridad, Reducción de preocupación por retrasos o imprevistos"/>
    <s v="Útil"/>
    <s v="Saber si el bus está retrasado, Comunicación directa con el conductor o acudiente, Historial de recorridos"/>
    <s v="Página web"/>
    <s v="Poco confiable"/>
    <s v="Sí"/>
    <s v="Que respete la privacidad "/>
    <s v="No"/>
  </r>
  <r>
    <d v="2025-06-09T13:48:09"/>
    <s v="Estudiante"/>
    <s v="Juan Camilo Guilombo Osorio "/>
    <s v="Moderadamente importante"/>
    <x v="1"/>
    <s v="Mayor tranquilidad y seguridad, Mejor organización de tiempos al saber el momento exacto de llegada, Reducción de preocupación por retrasos o imprevistos"/>
    <s v="Útil"/>
    <s v="Saber si el bus está retrasado, Comunicación directa con el conductor o acudiente, Historial de recorridos, Registro de rutas pasadas"/>
    <s v="Aplicación móvil"/>
    <s v="Confiable"/>
    <s v="Rara vez"/>
    <s v="Que funcione sin internet "/>
    <s v="Tal vez"/>
  </r>
  <r>
    <d v="2025-06-09T14:21:09"/>
    <s v="Estudiante"/>
    <s v="Brayan Estiven Patiño Cabrera "/>
    <s v="Muy importante"/>
    <x v="0"/>
    <s v="Reducción de preocupación por retrasos o imprevistos"/>
    <s v="Útil"/>
    <s v="Ver la ubicación del bus en tiempo real, Historial de recorridos, Registro de rutas pasadas"/>
    <s v="Aplicación móvil"/>
    <s v="Esencial que sea extremadamente segura"/>
    <s v="Algunas veces"/>
    <s v="Ninguna, muy bien"/>
    <s v="Tal vez"/>
  </r>
  <r>
    <d v="2025-06-09T14:43:53"/>
    <s v="Estudiante"/>
    <s v="Miguel Angel Garcia Artunduaga"/>
    <s v="Moderadamente importante"/>
    <x v="0"/>
    <s v="Mayor tranquilidad y seguridad, Mejor organización de tiempos al saber el momento exacto de llegada, Reducción de preocupación por retrasos o imprevistos"/>
    <s v="Útil"/>
    <s v="Ver la ubicación del bus en tiempo real, Historial de recorridos, Integración con el calendario escolar"/>
    <s v="Aplicación móvil"/>
    <s v="Esencial que sea extremadamente segura"/>
    <s v="Nunca"/>
    <s v="Nose"/>
    <s v="Tal vez"/>
  </r>
  <r>
    <d v="2025-06-11T06:33:52"/>
    <s v="Estudiante"/>
    <s v="Daniel Alejandro Mora Plata "/>
    <s v="Nada importante"/>
    <x v="2"/>
    <s v="Mayor tranquilidad y seguridad, Mejor organización de tiempos al saber el momento exacto de llegada, Reducción de preocupación por retrasos o imprevistos"/>
    <s v="Útil"/>
    <s v="Ver la ubicación del bus en tiempo real, Saber si el bus está retrasado, Comunicación directa con el conductor o acudiente, Historial de recorridos"/>
    <s v="Ambas"/>
    <s v="Medianamente confiable"/>
    <s v="Sí"/>
    <s v="Ninguna, está bien"/>
    <s v="Si"/>
  </r>
  <r>
    <d v="2025-06-11T06:35:06"/>
    <s v="Estudiante"/>
    <s v="Nicole  Dayana Ramirez Vargas"/>
    <s v="Muy importante"/>
    <x v="1"/>
    <s v="Mayor tranquilidad y seguridad"/>
    <s v="Muy útil"/>
    <s v="Ver la ubicación del bus en tiempo real"/>
    <s v="Aplicación móvil"/>
    <s v="Medianamente confiable"/>
    <s v="Sí"/>
    <s v="niguna"/>
    <s v="Si"/>
  </r>
  <r>
    <d v="2025-06-11T06:35:37"/>
    <s v="Estudiante"/>
    <s v="jose sebastian suarez cumaco"/>
    <s v="Poco importante"/>
    <x v="2"/>
    <s v="Reducción de preocupación por retrasos o imprevistos"/>
    <s v="Innecesaria"/>
    <s v="Historial de recorridos, Registro de rutas pasadas, Integración con el calendario escolar"/>
    <s v="Aplicación móvil"/>
    <s v="Confiable"/>
    <s v="Nunca"/>
    <s v="esta bien asi"/>
    <s v="Tal vez"/>
  </r>
  <r>
    <d v="2025-06-11T06:35:49"/>
    <s v="Estudiante"/>
    <s v="juan esteban acosta ardila"/>
    <s v="Fundamental"/>
    <x v="1"/>
    <s v="Mayor tranquilidad y seguridad, Mejor organización de tiempos al saber el momento exacto de llegada"/>
    <s v="Muy útil"/>
    <s v="Ver la ubicación del bus en tiempo real, Saber si el bus está retrasado, Registro de rutas pasadas"/>
    <s v="Aplicación móvil"/>
    <s v="Confiable"/>
    <s v="Algunas veces"/>
    <s v="que sea practica"/>
    <s v="Si"/>
  </r>
  <r>
    <d v="2025-06-11T06:35:52"/>
    <s v="Estudiante"/>
    <s v="Juan Manuel Gomez Suarez"/>
    <s v="Muy importante"/>
    <x v="1"/>
    <s v="Mayor tranquilidad y seguridad, Mejor organización de tiempos al saber el momento exacto de llegada"/>
    <s v="Muy útil"/>
    <s v="Ver la ubicación del bus en tiempo real, Saber si el bus está retrasado, Comunicación directa con el conductor o acudiente"/>
    <s v="Ambas"/>
    <s v="Confiable"/>
    <s v="Algunas veces"/>
    <s v="ninguna, me parece que tiene todo "/>
    <s v="Si"/>
  </r>
  <r>
    <d v="2025-06-11T06:38:10"/>
    <s v="Estudiante"/>
    <s v="Thiago Fabian Rojas Guevara "/>
    <s v="Moderadamente importante"/>
    <x v="1"/>
    <s v="Mayor tranquilidad y seguridad, Mejor organización de tiempos al saber el momento exacto de llegada, Reducción de preocupación por retrasos o imprevistos"/>
    <s v="Útil"/>
    <s v="Ver la ubicación del bus en tiempo real, Comunicación directa con el conductor o acudiente"/>
    <s v="Aplicación móvil"/>
    <s v="Poco confiable"/>
    <s v="Rara vez"/>
    <s v="Esta perfecta"/>
    <s v="Si"/>
  </r>
  <r>
    <d v="2025-06-11T06:42:14"/>
    <s v="Estudiante"/>
    <s v="Johan Felipe Repizo Aguirre "/>
    <s v="Muy importante"/>
    <x v="0"/>
    <s v="Mayor tranquilidad y seguridad"/>
    <s v="Muy útil"/>
    <s v="Ver la ubicación del bus en tiempo real, Saber si el bus está retrasado, Historial de recorridos"/>
    <s v="Ambas"/>
    <s v="Esencial que sea extremadamente segura"/>
    <s v="Algunas veces"/>
    <s v="Ninguna "/>
    <s v="Si"/>
  </r>
  <r>
    <d v="2025-06-11T06:43:37"/>
    <s v="Estudiante"/>
    <s v="Juan Esteban Cortes Parra "/>
    <s v="Fundamental"/>
    <x v="0"/>
    <s v="Mayor tranquilidad y seguridad, Mejor organización de tiempos al saber el momento exacto de llegada, Reducción de preocupación por retrasos o imprevistos"/>
    <s v="Muy útil"/>
    <s v="Ver la ubicación del bus en tiempo real, Comunicación directa con el conductor o acudiente, Historial de recorridos"/>
    <s v="Ambas"/>
    <s v="Esencial que sea extremadamente segura"/>
    <s v="Nunca"/>
    <s v="Pues solo que fuera que tenga buen rendimiento "/>
    <s v="Si"/>
  </r>
  <r>
    <d v="2025-06-11T06:44:11"/>
    <s v="Estudiante"/>
    <s v="David Santiago Erez Rodriguez "/>
    <s v="Fundamental"/>
    <x v="1"/>
    <s v="Mayor tranquilidad y seguridad, Mejor organización de tiempos al saber el momento exacto de llegada, Reducción de preocupación por retrasos o imprevistos"/>
    <s v="Útil"/>
    <s v="Ver la ubicación del bus en tiempo real, Saber si el bus está retrasado"/>
    <s v="Aplicación móvil"/>
    <s v="Esencial que sea extremadamente segura"/>
    <s v="Nunca"/>
    <s v="Que tanga servicios especiales para las escuelas "/>
    <s v="No"/>
  </r>
  <r>
    <d v="2025-06-11T06:46:45"/>
    <s v="Estudiante"/>
    <s v="Jonattan Steven Rizo Solano"/>
    <s v="Moderadamente importante"/>
    <x v="0"/>
    <s v="Mayor tranquilidad y seguridad, Mejor organización de tiempos al saber el momento exacto de llegada"/>
    <s v="Útil"/>
    <s v="Ver la ubicación del bus en tiempo real, Saber si el bus está retrasado, Historial de recorridos"/>
    <s v="Aplicación móvil"/>
    <s v="Confiable"/>
    <s v="Sí"/>
    <s v="Por ahora ninguno"/>
    <s v="Si"/>
  </r>
  <r>
    <d v="2025-06-11T06:48:24"/>
    <s v="Estudiante"/>
    <s v="Johan Sebastián Yucumá Molano "/>
    <s v="Fundamental"/>
    <x v="0"/>
    <s v="Mejor organización de tiempos al saber el momento exacto de llegada"/>
    <s v="Útil"/>
    <s v="Ver la ubicación del bus en tiempo real, Saber si el bus está retrasado, Historial de recorridos, Registro de rutas pasadas"/>
    <s v="Aplicación móvil"/>
    <s v="Esencial que sea extremadamente segura"/>
    <s v="Rara vez"/>
    <s v="Que aparte de rutas escolares también muestre los desastres naturales que probablemente interferirian con la ruta"/>
    <s v="Tal vez"/>
  </r>
  <r>
    <d v="2025-06-11T06:53:23"/>
    <s v="Estudiante"/>
    <s v="Justin Daniela Bahamon "/>
    <s v="Muy importante"/>
    <x v="0"/>
    <s v="Mayor tranquilidad y seguridad"/>
    <s v="Muy útil"/>
    <s v="Ver la ubicación del bus en tiempo real, Comunicación directa con el conductor o acudiente, Historial de recorridos"/>
    <s v="Aplicación móvil"/>
    <s v="Muy confiable"/>
    <s v="Nunca"/>
    <s v="Que te notifique si algo anda mal "/>
    <s v="No"/>
  </r>
  <r>
    <d v="2025-06-11T08:31:55"/>
    <s v="Estudiante"/>
    <s v="Yully Katherine Díaz Salas "/>
    <s v="Moderadamente importante"/>
    <x v="1"/>
    <s v="Mejor organización de tiempos al saber el momento exacto de llegada"/>
    <s v="Poco útil"/>
    <s v="Comunicación directa con el conductor o acudiente"/>
    <s v="Página web"/>
    <s v="Medianamente confiable"/>
    <s v="Algunas veces"/>
    <s v="No tengo sugerencias "/>
    <s v="Si"/>
  </r>
  <r>
    <d v="2025-06-11T08:58:43"/>
    <s v="Estudiante"/>
    <s v="Willianni Godín Pérez "/>
    <s v="Muy importante"/>
    <x v="0"/>
    <s v="Mayor tranquilidad y seguridad, Reducción de preocupación por retrasos o imprevistos"/>
    <s v="Muy útil"/>
    <s v="Ver la ubicación del bus en tiempo real, Saber si el bus está retrasado, Comunicación directa con el conductor o acudiente"/>
    <s v="Aplicación móvil"/>
    <s v="Esencial que sea extremadamente segura"/>
    <s v="Nunca"/>
    <s v="Realizar una encuesta cada trimestre para los estudiantes y padres, y así poder saber cómo se sienten y qué sugerencias tienen"/>
    <s v="No"/>
  </r>
  <r>
    <d v="2025-06-11T09:07:24"/>
    <s v="Padre / Madre / Acudiente"/>
    <s v="Kelly Yohana Ramirez Morales "/>
    <s v="Fundamental"/>
    <x v="0"/>
    <s v="Mayor tranquilidad y seguridad, Mejor organización de tiempos al saber el momento exacto de llegada, Reducción de preocupación por retrasos o imprevistos"/>
    <s v="Muy útil"/>
    <s v="Ver la ubicación del bus en tiempo real, Saber si el bus está retrasado, Comunicación directa con el conductor o acudiente, Historial de recorridos, Registro de rutas pasadas, Integración con el calendario escolar"/>
    <s v="Ambas"/>
    <s v="Esencial que sea extremadamente segura"/>
    <s v="Sí"/>
    <s v="Ninguna "/>
    <s v="Si"/>
  </r>
  <r>
    <d v="2025-06-11T09:07:36"/>
    <s v="Padre / Madre / Acudiente"/>
    <s v="Juan esteban rojas ibarra"/>
    <s v="Fundamental"/>
    <x v="0"/>
    <s v="Mayor tranquilidad y seguridad, Mejor organización de tiempos al saber el momento exacto de llegada"/>
    <s v="Muy útil"/>
    <s v="Ver la ubicación del bus en tiempo real"/>
    <s v="Ambas"/>
    <s v="Muy confiable"/>
    <s v="Algunas veces"/>
    <s v="Crear cuentas aparte de cada recorrido"/>
    <s v="Tal vez"/>
  </r>
  <r>
    <d v="2025-06-11T09:09:12"/>
    <s v="Padre / Madre / Acudiente"/>
    <s v="JUAN PABLO ROJAS"/>
    <s v="Fundamental"/>
    <x v="0"/>
    <s v="Mayor tranquilidad y seguridad, Mejor organización de tiempos al saber el momento exacto de llegada, Reducción de preocupación por retrasos o imprevistos"/>
    <s v="Muy útil"/>
    <s v="Ver la ubicación del bus en tiempo real, Saber si el bus está retrasado, Comunicación directa con el conductor o acudiente, Historial de recorridos, Integración con el calendario escolar"/>
    <s v="Ambas"/>
    <s v="Muy confiable"/>
    <s v="Sí"/>
    <s v="Que sea de fácil uso y la compatibilidad en móviles sea para Androide y Iphone"/>
    <s v="Si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5-06-09T07:22:55"/>
    <s v="Estudiante"/>
    <s v="maria de los angeles olaya garcia "/>
    <s v="Moderadamente importante"/>
    <s v="A diario"/>
    <s v="Mayor tranquilidad y seguridad"/>
    <x v="0"/>
    <s v="Ver la ubicación del bus en tiempo real, Saber si el bus está retrasado, Comunicación directa con el conductor o acudiente, Historial de recorridos"/>
    <s v="Aplicación móvil"/>
    <s v="Esencial que sea extremadamente segura"/>
    <s v="Sí"/>
    <s v="que tenga acceso a numeros de contacto en caso de emergencias "/>
    <s v="Si"/>
  </r>
  <r>
    <d v="2025-06-09T07:23:26"/>
    <s v="Estudiante"/>
    <s v="Jhon Jairo Cortez VArgas"/>
    <s v="Moderadamente importante"/>
    <s v="Solo cuando el bus se retrase"/>
    <s v="Mayor tranquilidad y seguridad"/>
    <x v="1"/>
    <s v="Ver la ubicación del bus en tiempo real, Saber si el bus está retrasado, Historial de recorridos, Registro de rutas pasadas"/>
    <s v="Aplicación móvil"/>
    <s v="Muy confiable"/>
    <s v="Algunas veces"/>
    <s v="Que en caso de emergencias se pueda llamar a la policia, bomberos o hospitales desde la app"/>
    <s v="Si"/>
  </r>
  <r>
    <d v="2025-06-09T07:24:12"/>
    <s v="Estudiante"/>
    <s v="Juan David Arboleda Perdomo"/>
    <s v="Muy importante"/>
    <s v="Solo cuando el bus se retrase"/>
    <s v="Mayor tranquilidad y seguridad, Mejor organización de tiempos al saber el momento exacto de llegada, Reducción de preocupación por retrasos o imprevistos"/>
    <x v="0"/>
    <s v="Ver la ubicación del bus en tiempo real, Historial de recorridos, Registro de rutas pasadas, Integración con el calendario escolar"/>
    <s v="Aplicación móvil"/>
    <s v="Esencial que sea extremadamente segura"/>
    <s v="Rara vez"/>
    <s v="Que cuando notifique que mi hijo dejo el bus suene bachata"/>
    <s v="Si"/>
  </r>
  <r>
    <d v="2025-06-09T07:24:18"/>
    <s v="Estudiante"/>
    <s v="JUAN ESTEBAN OME"/>
    <s v="Moderadamente importante"/>
    <s v="Solo cuando el bus se retrase"/>
    <s v="Mayor tranquilidad y seguridad, Reducción de preocupación por retrasos o imprevistos"/>
    <x v="1"/>
    <s v="Ver la ubicación del bus en tiempo real, Comunicación directa con el conductor o acudiente, Integración con el calendario escolar"/>
    <s v="Ambas"/>
    <s v="Esencial que sea extremadamente segura"/>
    <s v="Nunca"/>
    <s v="IMPLEMENTAR RUTA ESCOLAR"/>
    <s v="Tal vez"/>
  </r>
  <r>
    <d v="2025-06-09T07:25:12"/>
    <s v="Estudiante"/>
    <s v="Diego Andrés Gutiérrez Nuñez"/>
    <s v="Muy importante"/>
    <s v="A diario"/>
    <s v="Mayor tranquilidad y seguridad"/>
    <x v="0"/>
    <s v="Ver la ubicación del bus en tiempo real, Saber si el bus está retrasado, Historial de recorridos, Registro de rutas pasadas"/>
    <s v="Ambas"/>
    <s v="Confiable"/>
    <s v="Algunas veces"/>
    <s v="q cuando mi hijo se baje del bus, pongamos alertas personalizadas como phonksito"/>
    <s v="Si"/>
  </r>
  <r>
    <d v="2025-06-09T07:25:25"/>
    <s v="Estudiante"/>
    <s v="Keneth Santiago Rubiano Silva "/>
    <s v="Moderadamente importante"/>
    <s v="Solo cuando el bus se retrase"/>
    <s v="Mayor tranquilidad y seguridad, Mejor organización de tiempos al saber el momento exacto de llegada"/>
    <x v="2"/>
    <s v="Historial de recorridos"/>
    <s v="Ambas"/>
    <s v="Medianamente confiable"/>
    <s v="Sí"/>
    <s v="Ninguna"/>
    <s v="Si"/>
  </r>
  <r>
    <d v="2025-06-09T07:26:18"/>
    <s v="Estudiante"/>
    <s v="Juan mauricio suaza solorzano "/>
    <s v="Poco importante"/>
    <s v="Solo cuando el bus se retrase"/>
    <s v="Reducción de preocupación por retrasos o imprevistos"/>
    <x v="2"/>
    <s v="Ver la ubicación del bus en tiempo real, Registro de rutas pasadas, Integración con el calendario escolar"/>
    <s v="Ambas"/>
    <s v="Muy confiable"/>
    <s v="Algunas veces"/>
    <s v="Ninguna "/>
    <s v="Tal vez"/>
  </r>
  <r>
    <d v="2025-06-09T07:26:25"/>
    <s v="Estudiante"/>
    <s v="juan david cabrera caballero"/>
    <s v="Moderadamente importante"/>
    <s v="A diario"/>
    <s v="Mayor tranquilidad y seguridad"/>
    <x v="1"/>
    <s v="Ver la ubicación del bus en tiempo real, Comunicación directa con el conductor o acudiente, Historial de recorridos"/>
    <s v="Aplicación móvil"/>
    <s v="Muy confiable"/>
    <s v="Algunas veces"/>
    <s v="Ninguna"/>
    <s v="Tal vez"/>
  </r>
  <r>
    <d v="2025-06-09T07:28:51"/>
    <s v="Estudiante"/>
    <s v="juan camilo fierro esquivel"/>
    <s v="Fundamental"/>
    <s v="A diario"/>
    <s v="Mayor tranquilidad y seguridad"/>
    <x v="0"/>
    <s v="Ver la ubicación del bus en tiempo real, Historial de recorridos"/>
    <s v="Aplicación móvil"/>
    <s v="Muy confiable"/>
    <s v="Algunas veces"/>
    <s v="una sugerencia seria que la aplicacion mandara notificaciones de ves en cuando"/>
    <s v="Tal vez"/>
  </r>
  <r>
    <d v="2025-06-09T07:39:27"/>
    <s v="Estudiante"/>
    <s v="Luis Alejandro "/>
    <s v="Moderadamente importante"/>
    <s v="Solo cuando el bus se retrase"/>
    <s v="Mayor tranquilidad y seguridad, Reducción de preocupación por retrasos o imprevistos"/>
    <x v="1"/>
    <s v="Saber si el bus está retrasado, Comunicación directa con el conductor o acudiente, Historial de recorridos"/>
    <s v="Página web"/>
    <s v="Poco confiable"/>
    <s v="Sí"/>
    <s v="Que respete la privacidad "/>
    <s v="No"/>
  </r>
  <r>
    <d v="2025-06-09T13:48:09"/>
    <s v="Estudiante"/>
    <s v="Juan Camilo Guilombo Osorio "/>
    <s v="Moderadamente importante"/>
    <s v="Solo cuando el bus se retrase"/>
    <s v="Mayor tranquilidad y seguridad, Mejor organización de tiempos al saber el momento exacto de llegada, Reducción de preocupación por retrasos o imprevistos"/>
    <x v="1"/>
    <s v="Saber si el bus está retrasado, Comunicación directa con el conductor o acudiente, Historial de recorridos, Registro de rutas pasadas"/>
    <s v="Aplicación móvil"/>
    <s v="Confiable"/>
    <s v="Rara vez"/>
    <s v="Que funcione sin internet "/>
    <s v="Tal vez"/>
  </r>
  <r>
    <d v="2025-06-09T14:21:09"/>
    <s v="Estudiante"/>
    <s v="Brayan Estiven Patiño Cabrera "/>
    <s v="Muy importante"/>
    <s v="A diario"/>
    <s v="Reducción de preocupación por retrasos o imprevistos"/>
    <x v="1"/>
    <s v="Ver la ubicación del bus en tiempo real, Historial de recorridos, Registro de rutas pasadas"/>
    <s v="Aplicación móvil"/>
    <s v="Esencial que sea extremadamente segura"/>
    <s v="Algunas veces"/>
    <s v="Ninguna, muy bien"/>
    <s v="Tal vez"/>
  </r>
  <r>
    <d v="2025-06-09T14:43:53"/>
    <s v="Estudiante"/>
    <s v="Miguel Angel Garcia Artunduaga"/>
    <s v="Moderadamente importante"/>
    <s v="A diario"/>
    <s v="Mayor tranquilidad y seguridad, Mejor organización de tiempos al saber el momento exacto de llegada, Reducción de preocupación por retrasos o imprevistos"/>
    <x v="1"/>
    <s v="Ver la ubicación del bus en tiempo real, Historial de recorridos, Integración con el calendario escolar"/>
    <s v="Aplicación móvil"/>
    <s v="Esencial que sea extremadamente segura"/>
    <s v="Nunca"/>
    <s v="Nose"/>
    <s v="Tal vez"/>
  </r>
  <r>
    <d v="2025-06-11T06:33:52"/>
    <s v="Estudiante"/>
    <s v="Daniel Alejandro Mora Plata "/>
    <s v="Nada importante"/>
    <s v="Rara vez"/>
    <s v="Mayor tranquilidad y seguridad, Mejor organización de tiempos al saber el momento exacto de llegada, Reducción de preocupación por retrasos o imprevistos"/>
    <x v="1"/>
    <s v="Ver la ubicación del bus en tiempo real, Saber si el bus está retrasado, Comunicación directa con el conductor o acudiente, Historial de recorridos"/>
    <s v="Ambas"/>
    <s v="Medianamente confiable"/>
    <s v="Sí"/>
    <s v="Ninguna, está bien"/>
    <s v="Si"/>
  </r>
  <r>
    <d v="2025-06-11T06:35:06"/>
    <s v="Estudiante"/>
    <s v="Nicole  Dayana Ramirez Vargas"/>
    <s v="Muy importante"/>
    <s v="Solo cuando el bus se retrase"/>
    <s v="Mayor tranquilidad y seguridad"/>
    <x v="0"/>
    <s v="Ver la ubicación del bus en tiempo real"/>
    <s v="Aplicación móvil"/>
    <s v="Medianamente confiable"/>
    <s v="Sí"/>
    <s v="niguna"/>
    <s v="Si"/>
  </r>
  <r>
    <d v="2025-06-11T06:35:37"/>
    <s v="Estudiante"/>
    <s v="jose sebastian suarez cumaco"/>
    <s v="Poco importante"/>
    <s v="Rara vez"/>
    <s v="Reducción de preocupación por retrasos o imprevistos"/>
    <x v="3"/>
    <s v="Historial de recorridos, Registro de rutas pasadas, Integración con el calendario escolar"/>
    <s v="Aplicación móvil"/>
    <s v="Confiable"/>
    <s v="Nunca"/>
    <s v="esta bien asi"/>
    <s v="Tal vez"/>
  </r>
  <r>
    <d v="2025-06-11T06:35:49"/>
    <s v="Estudiante"/>
    <s v="juan esteban acosta ardila"/>
    <s v="Fundamental"/>
    <s v="Solo cuando el bus se retrase"/>
    <s v="Mayor tranquilidad y seguridad, Mejor organización de tiempos al saber el momento exacto de llegada"/>
    <x v="0"/>
    <s v="Ver la ubicación del bus en tiempo real, Saber si el bus está retrasado, Registro de rutas pasadas"/>
    <s v="Aplicación móvil"/>
    <s v="Confiable"/>
    <s v="Algunas veces"/>
    <s v="que sea practica"/>
    <s v="Si"/>
  </r>
  <r>
    <d v="2025-06-11T06:35:52"/>
    <s v="Estudiante"/>
    <s v="Juan Manuel Gomez Suarez"/>
    <s v="Muy importante"/>
    <s v="Solo cuando el bus se retrase"/>
    <s v="Mayor tranquilidad y seguridad, Mejor organización de tiempos al saber el momento exacto de llegada"/>
    <x v="0"/>
    <s v="Ver la ubicación del bus en tiempo real, Saber si el bus está retrasado, Comunicación directa con el conductor o acudiente"/>
    <s v="Ambas"/>
    <s v="Confiable"/>
    <s v="Algunas veces"/>
    <s v="ninguna, me parece que tiene todo "/>
    <s v="Si"/>
  </r>
  <r>
    <d v="2025-06-11T06:38:10"/>
    <s v="Estudiante"/>
    <s v="Thiago Fabian Rojas Guevara "/>
    <s v="Moderadamente importante"/>
    <s v="Solo cuando el bus se retrase"/>
    <s v="Mayor tranquilidad y seguridad, Mejor organización de tiempos al saber el momento exacto de llegada, Reducción de preocupación por retrasos o imprevistos"/>
    <x v="1"/>
    <s v="Ver la ubicación del bus en tiempo real, Comunicación directa con el conductor o acudiente"/>
    <s v="Aplicación móvil"/>
    <s v="Poco confiable"/>
    <s v="Rara vez"/>
    <s v="Esta perfecta"/>
    <s v="Si"/>
  </r>
  <r>
    <d v="2025-06-11T06:42:14"/>
    <s v="Estudiante"/>
    <s v="Johan Felipe Repizo Aguirre "/>
    <s v="Muy importante"/>
    <s v="A diario"/>
    <s v="Mayor tranquilidad y seguridad"/>
    <x v="0"/>
    <s v="Ver la ubicación del bus en tiempo real, Saber si el bus está retrasado, Historial de recorridos"/>
    <s v="Ambas"/>
    <s v="Esencial que sea extremadamente segura"/>
    <s v="Algunas veces"/>
    <s v="Ninguna "/>
    <s v="Si"/>
  </r>
  <r>
    <d v="2025-06-11T06:43:37"/>
    <s v="Estudiante"/>
    <s v="Juan Esteban Cortes Parra "/>
    <s v="Fundamental"/>
    <s v="A diario"/>
    <s v="Mayor tranquilidad y seguridad, Mejor organización de tiempos al saber el momento exacto de llegada, Reducción de preocupación por retrasos o imprevistos"/>
    <x v="0"/>
    <s v="Ver la ubicación del bus en tiempo real, Comunicación directa con el conductor o acudiente, Historial de recorridos"/>
    <s v="Ambas"/>
    <s v="Esencial que sea extremadamente segura"/>
    <s v="Nunca"/>
    <s v="Pues solo que fuera que tenga buen rendimiento "/>
    <s v="Si"/>
  </r>
  <r>
    <d v="2025-06-11T06:44:11"/>
    <s v="Estudiante"/>
    <s v="David Santiago Erez Rodriguez "/>
    <s v="Fundamental"/>
    <s v="Solo cuando el bus se retrase"/>
    <s v="Mayor tranquilidad y seguridad, Mejor organización de tiempos al saber el momento exacto de llegada, Reducción de preocupación por retrasos o imprevistos"/>
    <x v="1"/>
    <s v="Ver la ubicación del bus en tiempo real, Saber si el bus está retrasado"/>
    <s v="Aplicación móvil"/>
    <s v="Esencial que sea extremadamente segura"/>
    <s v="Nunca"/>
    <s v="Que tanga servicios especiales para las escuelas "/>
    <s v="No"/>
  </r>
  <r>
    <d v="2025-06-11T06:46:45"/>
    <s v="Estudiante"/>
    <s v="Jonattan Steven Rizo Solano"/>
    <s v="Moderadamente importante"/>
    <s v="A diario"/>
    <s v="Mayor tranquilidad y seguridad, Mejor organización de tiempos al saber el momento exacto de llegada"/>
    <x v="1"/>
    <s v="Ver la ubicación del bus en tiempo real, Saber si el bus está retrasado, Historial de recorridos"/>
    <s v="Aplicación móvil"/>
    <s v="Confiable"/>
    <s v="Sí"/>
    <s v="Por ahora ninguno"/>
    <s v="Si"/>
  </r>
  <r>
    <d v="2025-06-11T06:48:24"/>
    <s v="Estudiante"/>
    <s v="Johan Sebastián Yucumá Molano "/>
    <s v="Fundamental"/>
    <s v="A diario"/>
    <s v="Mejor organización de tiempos al saber el momento exacto de llegada"/>
    <x v="1"/>
    <s v="Ver la ubicación del bus en tiempo real, Saber si el bus está retrasado, Historial de recorridos, Registro de rutas pasadas"/>
    <s v="Aplicación móvil"/>
    <s v="Esencial que sea extremadamente segura"/>
    <s v="Rara vez"/>
    <s v="Que aparte de rutas escolares también muestre los desastres naturales que probablemente interferirian con la ruta"/>
    <s v="Tal vez"/>
  </r>
  <r>
    <d v="2025-06-11T06:53:23"/>
    <s v="Estudiante"/>
    <s v="Justin Daniela Bahamon "/>
    <s v="Muy importante"/>
    <s v="A diario"/>
    <s v="Mayor tranquilidad y seguridad"/>
    <x v="0"/>
    <s v="Ver la ubicación del bus en tiempo real, Comunicación directa con el conductor o acudiente, Historial de recorridos"/>
    <s v="Aplicación móvil"/>
    <s v="Muy confiable"/>
    <s v="Nunca"/>
    <s v="Que te notifique si algo anda mal "/>
    <s v="No"/>
  </r>
  <r>
    <d v="2025-06-11T08:31:55"/>
    <s v="Estudiante"/>
    <s v="Yully Katherine Díaz Salas "/>
    <s v="Moderadamente importante"/>
    <s v="Solo cuando el bus se retrase"/>
    <s v="Mejor organización de tiempos al saber el momento exacto de llegada"/>
    <x v="2"/>
    <s v="Comunicación directa con el conductor o acudiente"/>
    <s v="Página web"/>
    <s v="Medianamente confiable"/>
    <s v="Algunas veces"/>
    <s v="No tengo sugerencias "/>
    <s v="Si"/>
  </r>
  <r>
    <d v="2025-06-11T08:58:43"/>
    <s v="Estudiante"/>
    <s v="Willianni Godín Pérez "/>
    <s v="Muy importante"/>
    <s v="A diario"/>
    <s v="Mayor tranquilidad y seguridad, Reducción de preocupación por retrasos o imprevistos"/>
    <x v="0"/>
    <s v="Ver la ubicación del bus en tiempo real, Saber si el bus está retrasado, Comunicación directa con el conductor o acudiente"/>
    <s v="Aplicación móvil"/>
    <s v="Esencial que sea extremadamente segura"/>
    <s v="Nunca"/>
    <s v="Realizar una encuesta cada trimestre para los estudiantes y padres, y así poder saber cómo se sienten y qué sugerencias tienen"/>
    <s v="No"/>
  </r>
  <r>
    <d v="2025-06-11T09:07:24"/>
    <s v="Padre / Madre / Acudiente"/>
    <s v="Kelly Yohana Ramirez Morales "/>
    <s v="Fundamental"/>
    <s v="A diario"/>
    <s v="Mayor tranquilidad y seguridad, Mejor organización de tiempos al saber el momento exacto de llegada, Reducción de preocupación por retrasos o imprevistos"/>
    <x v="0"/>
    <s v="Ver la ubicación del bus en tiempo real, Saber si el bus está retrasado, Comunicación directa con el conductor o acudiente, Historial de recorridos, Registro de rutas pasadas, Integración con el calendario escolar"/>
    <s v="Ambas"/>
    <s v="Esencial que sea extremadamente segura"/>
    <s v="Sí"/>
    <s v="Ninguna "/>
    <s v="Si"/>
  </r>
  <r>
    <d v="2025-06-11T09:07:36"/>
    <s v="Padre / Madre / Acudiente"/>
    <s v="Juan esteban rojas ibarra"/>
    <s v="Fundamental"/>
    <s v="A diario"/>
    <s v="Mayor tranquilidad y seguridad, Mejor organización de tiempos al saber el momento exacto de llegada"/>
    <x v="0"/>
    <s v="Ver la ubicación del bus en tiempo real"/>
    <s v="Ambas"/>
    <s v="Muy confiable"/>
    <s v="Algunas veces"/>
    <s v="Crear cuentas aparte de cada recorrido"/>
    <s v="Tal vez"/>
  </r>
  <r>
    <d v="2025-06-11T09:09:12"/>
    <s v="Padre / Madre / Acudiente"/>
    <s v="JUAN PABLO ROJAS"/>
    <s v="Fundamental"/>
    <s v="A diario"/>
    <s v="Mayor tranquilidad y seguridad, Mejor organización de tiempos al saber el momento exacto de llegada, Reducción de preocupación por retrasos o imprevistos"/>
    <x v="0"/>
    <s v="Ver la ubicación del bus en tiempo real, Saber si el bus está retrasado, Comunicación directa con el conductor o acudiente, Historial de recorridos, Integración con el calendario escolar"/>
    <s v="Ambas"/>
    <s v="Muy confiable"/>
    <s v="Sí"/>
    <s v="Que sea de fácil uso y la compatibilidad en móviles sea para Androide y Iphone"/>
    <s v="Si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5-06-09T07:22:55"/>
    <s v="Estudiante"/>
    <s v="maria de los angeles olaya garcia "/>
    <s v="Moderadamente importante"/>
    <s v="A diario"/>
    <s v="Mayor tranquilidad y seguridad"/>
    <s v="Muy útil"/>
    <s v="Ver la ubicación del bus en tiempo real, Saber si el bus está retrasado, Comunicación directa con el conductor o acudiente, Historial de recorridos"/>
    <x v="0"/>
    <s v="Esencial que sea extremadamente segura"/>
    <s v="Sí"/>
    <s v="que tenga acceso a numeros de contacto en caso de emergencias "/>
    <s v="Si"/>
  </r>
  <r>
    <d v="2025-06-09T07:23:26"/>
    <s v="Estudiante"/>
    <s v="Jhon Jairo Cortez VArgas"/>
    <s v="Moderadamente importante"/>
    <s v="Solo cuando el bus se retrase"/>
    <s v="Mayor tranquilidad y seguridad"/>
    <s v="Útil"/>
    <s v="Ver la ubicación del bus en tiempo real, Saber si el bus está retrasado, Historial de recorridos, Registro de rutas pasadas"/>
    <x v="0"/>
    <s v="Muy confiable"/>
    <s v="Algunas veces"/>
    <s v="Que en caso de emergencias se pueda llamar a la policia, bomberos o hospitales desde la app"/>
    <s v="Si"/>
  </r>
  <r>
    <d v="2025-06-09T07:24:12"/>
    <s v="Estudiante"/>
    <s v="Juan David Arboleda Perdomo"/>
    <s v="Muy importante"/>
    <s v="Solo cuando el bus se retrase"/>
    <s v="Mayor tranquilidad y seguridad, Mejor organización de tiempos al saber el momento exacto de llegada, Reducción de preocupación por retrasos o imprevistos"/>
    <s v="Muy útil"/>
    <s v="Ver la ubicación del bus en tiempo real, Historial de recorridos, Registro de rutas pasadas, Integración con el calendario escolar"/>
    <x v="0"/>
    <s v="Esencial que sea extremadamente segura"/>
    <s v="Rara vez"/>
    <s v="Que cuando notifique que mi hijo dejo el bus suene bachata"/>
    <s v="Si"/>
  </r>
  <r>
    <d v="2025-06-09T07:24:18"/>
    <s v="Estudiante"/>
    <s v="JUAN ESTEBAN OME"/>
    <s v="Moderadamente importante"/>
    <s v="Solo cuando el bus se retrase"/>
    <s v="Mayor tranquilidad y seguridad, Reducción de preocupación por retrasos o imprevistos"/>
    <s v="Útil"/>
    <s v="Ver la ubicación del bus en tiempo real, Comunicación directa con el conductor o acudiente, Integración con el calendario escolar"/>
    <x v="1"/>
    <s v="Esencial que sea extremadamente segura"/>
    <s v="Nunca"/>
    <s v="IMPLEMENTAR RUTA ESCOLAR"/>
    <s v="Tal vez"/>
  </r>
  <r>
    <d v="2025-06-09T07:25:12"/>
    <s v="Estudiante"/>
    <s v="Diego Andrés Gutiérrez Nuñez"/>
    <s v="Muy importante"/>
    <s v="A diario"/>
    <s v="Mayor tranquilidad y seguridad"/>
    <s v="Muy útil"/>
    <s v="Ver la ubicación del bus en tiempo real, Saber si el bus está retrasado, Historial de recorridos, Registro de rutas pasadas"/>
    <x v="1"/>
    <s v="Confiable"/>
    <s v="Algunas veces"/>
    <s v="q cuando mi hijo se baje del bus, pongamos alertas personalizadas como phonksito"/>
    <s v="Si"/>
  </r>
  <r>
    <d v="2025-06-09T07:25:25"/>
    <s v="Estudiante"/>
    <s v="Keneth Santiago Rubiano Silva "/>
    <s v="Moderadamente importante"/>
    <s v="Solo cuando el bus se retrase"/>
    <s v="Mayor tranquilidad y seguridad, Mejor organización de tiempos al saber el momento exacto de llegada"/>
    <s v="Poco útil"/>
    <s v="Historial de recorridos"/>
    <x v="1"/>
    <s v="Medianamente confiable"/>
    <s v="Sí"/>
    <s v="Ninguna"/>
    <s v="Si"/>
  </r>
  <r>
    <d v="2025-06-09T07:26:18"/>
    <s v="Estudiante"/>
    <s v="Juan mauricio suaza solorzano "/>
    <s v="Poco importante"/>
    <s v="Solo cuando el bus se retrase"/>
    <s v="Reducción de preocupación por retrasos o imprevistos"/>
    <s v="Poco útil"/>
    <s v="Ver la ubicación del bus en tiempo real, Registro de rutas pasadas, Integración con el calendario escolar"/>
    <x v="1"/>
    <s v="Muy confiable"/>
    <s v="Algunas veces"/>
    <s v="Ninguna "/>
    <s v="Tal vez"/>
  </r>
  <r>
    <d v="2025-06-09T07:26:25"/>
    <s v="Estudiante"/>
    <s v="juan david cabrera caballero"/>
    <s v="Moderadamente importante"/>
    <s v="A diario"/>
    <s v="Mayor tranquilidad y seguridad"/>
    <s v="Útil"/>
    <s v="Ver la ubicación del bus en tiempo real, Comunicación directa con el conductor o acudiente, Historial de recorridos"/>
    <x v="0"/>
    <s v="Muy confiable"/>
    <s v="Algunas veces"/>
    <s v="Ninguna"/>
    <s v="Tal vez"/>
  </r>
  <r>
    <d v="2025-06-09T07:28:51"/>
    <s v="Estudiante"/>
    <s v="juan camilo fierro esquivel"/>
    <s v="Fundamental"/>
    <s v="A diario"/>
    <s v="Mayor tranquilidad y seguridad"/>
    <s v="Muy útil"/>
    <s v="Ver la ubicación del bus en tiempo real, Historial de recorridos"/>
    <x v="0"/>
    <s v="Muy confiable"/>
    <s v="Algunas veces"/>
    <s v="una sugerencia seria que la aplicacion mandara notificaciones de ves en cuando"/>
    <s v="Tal vez"/>
  </r>
  <r>
    <d v="2025-06-09T07:39:27"/>
    <s v="Estudiante"/>
    <s v="Luis Alejandro "/>
    <s v="Moderadamente importante"/>
    <s v="Solo cuando el bus se retrase"/>
    <s v="Mayor tranquilidad y seguridad, Reducción de preocupación por retrasos o imprevistos"/>
    <s v="Útil"/>
    <s v="Saber si el bus está retrasado, Comunicación directa con el conductor o acudiente, Historial de recorridos"/>
    <x v="2"/>
    <s v="Poco confiable"/>
    <s v="Sí"/>
    <s v="Que respete la privacidad "/>
    <s v="No"/>
  </r>
  <r>
    <d v="2025-06-09T13:48:09"/>
    <s v="Estudiante"/>
    <s v="Juan Camilo Guilombo Osorio "/>
    <s v="Moderadamente importante"/>
    <s v="Solo cuando el bus se retrase"/>
    <s v="Mayor tranquilidad y seguridad, Mejor organización de tiempos al saber el momento exacto de llegada, Reducción de preocupación por retrasos o imprevistos"/>
    <s v="Útil"/>
    <s v="Saber si el bus está retrasado, Comunicación directa con el conductor o acudiente, Historial de recorridos, Registro de rutas pasadas"/>
    <x v="0"/>
    <s v="Confiable"/>
    <s v="Rara vez"/>
    <s v="Que funcione sin internet "/>
    <s v="Tal vez"/>
  </r>
  <r>
    <d v="2025-06-09T14:21:09"/>
    <s v="Estudiante"/>
    <s v="Brayan Estiven Patiño Cabrera "/>
    <s v="Muy importante"/>
    <s v="A diario"/>
    <s v="Reducción de preocupación por retrasos o imprevistos"/>
    <s v="Útil"/>
    <s v="Ver la ubicación del bus en tiempo real, Historial de recorridos, Registro de rutas pasadas"/>
    <x v="0"/>
    <s v="Esencial que sea extremadamente segura"/>
    <s v="Algunas veces"/>
    <s v="Ninguna, muy bien"/>
    <s v="Tal vez"/>
  </r>
  <r>
    <d v="2025-06-09T14:43:53"/>
    <s v="Estudiante"/>
    <s v="Miguel Angel Garcia Artunduaga"/>
    <s v="Moderadamente importante"/>
    <s v="A diario"/>
    <s v="Mayor tranquilidad y seguridad, Mejor organización de tiempos al saber el momento exacto de llegada, Reducción de preocupación por retrasos o imprevistos"/>
    <s v="Útil"/>
    <s v="Ver la ubicación del bus en tiempo real, Historial de recorridos, Integración con el calendario escolar"/>
    <x v="0"/>
    <s v="Esencial que sea extremadamente segura"/>
    <s v="Nunca"/>
    <s v="Nose"/>
    <s v="Tal vez"/>
  </r>
  <r>
    <d v="2025-06-11T06:33:52"/>
    <s v="Estudiante"/>
    <s v="Daniel Alejandro Mora Plata "/>
    <s v="Nada importante"/>
    <s v="Rara vez"/>
    <s v="Mayor tranquilidad y seguridad, Mejor organización de tiempos al saber el momento exacto de llegada, Reducción de preocupación por retrasos o imprevistos"/>
    <s v="Útil"/>
    <s v="Ver la ubicación del bus en tiempo real, Saber si el bus está retrasado, Comunicación directa con el conductor o acudiente, Historial de recorridos"/>
    <x v="1"/>
    <s v="Medianamente confiable"/>
    <s v="Sí"/>
    <s v="Ninguna, está bien"/>
    <s v="Si"/>
  </r>
  <r>
    <d v="2025-06-11T06:35:06"/>
    <s v="Estudiante"/>
    <s v="Nicole  Dayana Ramirez Vargas"/>
    <s v="Muy importante"/>
    <s v="Solo cuando el bus se retrase"/>
    <s v="Mayor tranquilidad y seguridad"/>
    <s v="Muy útil"/>
    <s v="Ver la ubicación del bus en tiempo real"/>
    <x v="0"/>
    <s v="Medianamente confiable"/>
    <s v="Sí"/>
    <s v="niguna"/>
    <s v="Si"/>
  </r>
  <r>
    <d v="2025-06-11T06:35:37"/>
    <s v="Estudiante"/>
    <s v="jose sebastian suarez cumaco"/>
    <s v="Poco importante"/>
    <s v="Rara vez"/>
    <s v="Reducción de preocupación por retrasos o imprevistos"/>
    <s v="Innecesaria"/>
    <s v="Historial de recorridos, Registro de rutas pasadas, Integración con el calendario escolar"/>
    <x v="0"/>
    <s v="Confiable"/>
    <s v="Nunca"/>
    <s v="esta bien asi"/>
    <s v="Tal vez"/>
  </r>
  <r>
    <d v="2025-06-11T06:35:49"/>
    <s v="Estudiante"/>
    <s v="juan esteban acosta ardila"/>
    <s v="Fundamental"/>
    <s v="Solo cuando el bus se retrase"/>
    <s v="Mayor tranquilidad y seguridad, Mejor organización de tiempos al saber el momento exacto de llegada"/>
    <s v="Muy útil"/>
    <s v="Ver la ubicación del bus en tiempo real, Saber si el bus está retrasado, Registro de rutas pasadas"/>
    <x v="0"/>
    <s v="Confiable"/>
    <s v="Algunas veces"/>
    <s v="que sea practica"/>
    <s v="Si"/>
  </r>
  <r>
    <d v="2025-06-11T06:35:52"/>
    <s v="Estudiante"/>
    <s v="Juan Manuel Gomez Suarez"/>
    <s v="Muy importante"/>
    <s v="Solo cuando el bus se retrase"/>
    <s v="Mayor tranquilidad y seguridad, Mejor organización de tiempos al saber el momento exacto de llegada"/>
    <s v="Muy útil"/>
    <s v="Ver la ubicación del bus en tiempo real, Saber si el bus está retrasado, Comunicación directa con el conductor o acudiente"/>
    <x v="1"/>
    <s v="Confiable"/>
    <s v="Algunas veces"/>
    <s v="ninguna, me parece que tiene todo "/>
    <s v="Si"/>
  </r>
  <r>
    <d v="2025-06-11T06:38:10"/>
    <s v="Estudiante"/>
    <s v="Thiago Fabian Rojas Guevara "/>
    <s v="Moderadamente importante"/>
    <s v="Solo cuando el bus se retrase"/>
    <s v="Mayor tranquilidad y seguridad, Mejor organización de tiempos al saber el momento exacto de llegada, Reducción de preocupación por retrasos o imprevistos"/>
    <s v="Útil"/>
    <s v="Ver la ubicación del bus en tiempo real, Comunicación directa con el conductor o acudiente"/>
    <x v="0"/>
    <s v="Poco confiable"/>
    <s v="Rara vez"/>
    <s v="Esta perfecta"/>
    <s v="Si"/>
  </r>
  <r>
    <d v="2025-06-11T06:42:14"/>
    <s v="Estudiante"/>
    <s v="Johan Felipe Repizo Aguirre "/>
    <s v="Muy importante"/>
    <s v="A diario"/>
    <s v="Mayor tranquilidad y seguridad"/>
    <s v="Muy útil"/>
    <s v="Ver la ubicación del bus en tiempo real, Saber si el bus está retrasado, Historial de recorridos"/>
    <x v="1"/>
    <s v="Esencial que sea extremadamente segura"/>
    <s v="Algunas veces"/>
    <s v="Ninguna "/>
    <s v="Si"/>
  </r>
  <r>
    <d v="2025-06-11T06:43:37"/>
    <s v="Estudiante"/>
    <s v="Juan Esteban Cortes Parra "/>
    <s v="Fundamental"/>
    <s v="A diario"/>
    <s v="Mayor tranquilidad y seguridad, Mejor organización de tiempos al saber el momento exacto de llegada, Reducción de preocupación por retrasos o imprevistos"/>
    <s v="Muy útil"/>
    <s v="Ver la ubicación del bus en tiempo real, Comunicación directa con el conductor o acudiente, Historial de recorridos"/>
    <x v="1"/>
    <s v="Esencial que sea extremadamente segura"/>
    <s v="Nunca"/>
    <s v="Pues solo que fuera que tenga buen rendimiento "/>
    <s v="Si"/>
  </r>
  <r>
    <d v="2025-06-11T06:44:11"/>
    <s v="Estudiante"/>
    <s v="David Santiago Erez Rodriguez "/>
    <s v="Fundamental"/>
    <s v="Solo cuando el bus se retrase"/>
    <s v="Mayor tranquilidad y seguridad, Mejor organización de tiempos al saber el momento exacto de llegada, Reducción de preocupación por retrasos o imprevistos"/>
    <s v="Útil"/>
    <s v="Ver la ubicación del bus en tiempo real, Saber si el bus está retrasado"/>
    <x v="0"/>
    <s v="Esencial que sea extremadamente segura"/>
    <s v="Nunca"/>
    <s v="Que tanga servicios especiales para las escuelas "/>
    <s v="No"/>
  </r>
  <r>
    <d v="2025-06-11T06:46:45"/>
    <s v="Estudiante"/>
    <s v="Jonattan Steven Rizo Solano"/>
    <s v="Moderadamente importante"/>
    <s v="A diario"/>
    <s v="Mayor tranquilidad y seguridad, Mejor organización de tiempos al saber el momento exacto de llegada"/>
    <s v="Útil"/>
    <s v="Ver la ubicación del bus en tiempo real, Saber si el bus está retrasado, Historial de recorridos"/>
    <x v="0"/>
    <s v="Confiable"/>
    <s v="Sí"/>
    <s v="Por ahora ninguno"/>
    <s v="Si"/>
  </r>
  <r>
    <d v="2025-06-11T06:48:24"/>
    <s v="Estudiante"/>
    <s v="Johan Sebastián Yucumá Molano "/>
    <s v="Fundamental"/>
    <s v="A diario"/>
    <s v="Mejor organización de tiempos al saber el momento exacto de llegada"/>
    <s v="Útil"/>
    <s v="Ver la ubicación del bus en tiempo real, Saber si el bus está retrasado, Historial de recorridos, Registro de rutas pasadas"/>
    <x v="0"/>
    <s v="Esencial que sea extremadamente segura"/>
    <s v="Rara vez"/>
    <s v="Que aparte de rutas escolares también muestre los desastres naturales que probablemente interferirian con la ruta"/>
    <s v="Tal vez"/>
  </r>
  <r>
    <d v="2025-06-11T06:53:23"/>
    <s v="Estudiante"/>
    <s v="Justin Daniela Bahamon "/>
    <s v="Muy importante"/>
    <s v="A diario"/>
    <s v="Mayor tranquilidad y seguridad"/>
    <s v="Muy útil"/>
    <s v="Ver la ubicación del bus en tiempo real, Comunicación directa con el conductor o acudiente, Historial de recorridos"/>
    <x v="0"/>
    <s v="Muy confiable"/>
    <s v="Nunca"/>
    <s v="Que te notifique si algo anda mal "/>
    <s v="No"/>
  </r>
  <r>
    <d v="2025-06-11T08:31:55"/>
    <s v="Estudiante"/>
    <s v="Yully Katherine Díaz Salas "/>
    <s v="Moderadamente importante"/>
    <s v="Solo cuando el bus se retrase"/>
    <s v="Mejor organización de tiempos al saber el momento exacto de llegada"/>
    <s v="Poco útil"/>
    <s v="Comunicación directa con el conductor o acudiente"/>
    <x v="2"/>
    <s v="Medianamente confiable"/>
    <s v="Algunas veces"/>
    <s v="No tengo sugerencias "/>
    <s v="Si"/>
  </r>
  <r>
    <d v="2025-06-11T08:58:43"/>
    <s v="Estudiante"/>
    <s v="Willianni Godín Pérez "/>
    <s v="Muy importante"/>
    <s v="A diario"/>
    <s v="Mayor tranquilidad y seguridad, Reducción de preocupación por retrasos o imprevistos"/>
    <s v="Muy útil"/>
    <s v="Ver la ubicación del bus en tiempo real, Saber si el bus está retrasado, Comunicación directa con el conductor o acudiente"/>
    <x v="0"/>
    <s v="Esencial que sea extremadamente segura"/>
    <s v="Nunca"/>
    <s v="Realizar una encuesta cada trimestre para los estudiantes y padres, y así poder saber cómo se sienten y qué sugerencias tienen"/>
    <s v="No"/>
  </r>
  <r>
    <d v="2025-06-11T09:07:24"/>
    <s v="Padre / Madre / Acudiente"/>
    <s v="Kelly Yohana Ramirez Morales "/>
    <s v="Fundamental"/>
    <s v="A diario"/>
    <s v="Mayor tranquilidad y seguridad, Mejor organización de tiempos al saber el momento exacto de llegada, Reducción de preocupación por retrasos o imprevistos"/>
    <s v="Muy útil"/>
    <s v="Ver la ubicación del bus en tiempo real, Saber si el bus está retrasado, Comunicación directa con el conductor o acudiente, Historial de recorridos, Registro de rutas pasadas, Integración con el calendario escolar"/>
    <x v="1"/>
    <s v="Esencial que sea extremadamente segura"/>
    <s v="Sí"/>
    <s v="Ninguna "/>
    <s v="Si"/>
  </r>
  <r>
    <d v="2025-06-11T09:07:36"/>
    <s v="Padre / Madre / Acudiente"/>
    <s v="Juan esteban rojas ibarra"/>
    <s v="Fundamental"/>
    <s v="A diario"/>
    <s v="Mayor tranquilidad y seguridad, Mejor organización de tiempos al saber el momento exacto de llegada"/>
    <s v="Muy útil"/>
    <s v="Ver la ubicación del bus en tiempo real"/>
    <x v="1"/>
    <s v="Muy confiable"/>
    <s v="Algunas veces"/>
    <s v="Crear cuentas aparte de cada recorrido"/>
    <s v="Tal vez"/>
  </r>
  <r>
    <d v="2025-06-11T09:09:12"/>
    <s v="Padre / Madre / Acudiente"/>
    <s v="JUAN PABLO ROJAS"/>
    <s v="Fundamental"/>
    <s v="A diario"/>
    <s v="Mayor tranquilidad y seguridad, Mejor organización de tiempos al saber el momento exacto de llegada, Reducción de preocupación por retrasos o imprevistos"/>
    <s v="Muy útil"/>
    <s v="Ver la ubicación del bus en tiempo real, Saber si el bus está retrasado, Comunicación directa con el conductor o acudiente, Historial de recorridos, Integración con el calendario escolar"/>
    <x v="1"/>
    <s v="Muy confiable"/>
    <s v="Sí"/>
    <s v="Que sea de fácil uso y la compatibilidad en móviles sea para Androide y Iphone"/>
    <s v="Si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5-06-09T07:22:55"/>
    <s v="Estudiante"/>
    <s v="maria de los angeles olaya garcia "/>
    <s v="Moderadamente importante"/>
    <s v="A diario"/>
    <s v="Mayor tranquilidad y seguridad"/>
    <s v="Muy útil"/>
    <s v="Ver la ubicación del bus en tiempo real, Saber si el bus está retrasado, Comunicación directa con el conductor o acudiente, Historial de recorridos"/>
    <s v="Aplicación móvil"/>
    <x v="0"/>
    <s v="Sí"/>
    <s v="que tenga acceso a numeros de contacto en caso de emergencias "/>
    <s v="Si"/>
  </r>
  <r>
    <d v="2025-06-09T07:23:26"/>
    <s v="Estudiante"/>
    <s v="Jhon Jairo Cortez VArgas"/>
    <s v="Moderadamente importante"/>
    <s v="Solo cuando el bus se retrase"/>
    <s v="Mayor tranquilidad y seguridad"/>
    <s v="Útil"/>
    <s v="Ver la ubicación del bus en tiempo real, Saber si el bus está retrasado, Historial de recorridos, Registro de rutas pasadas"/>
    <s v="Aplicación móvil"/>
    <x v="1"/>
    <s v="Algunas veces"/>
    <s v="Que en caso de emergencias se pueda llamar a la policia, bomberos o hospitales desde la app"/>
    <s v="Si"/>
  </r>
  <r>
    <d v="2025-06-09T07:24:12"/>
    <s v="Estudiante"/>
    <s v="Juan David Arboleda Perdomo"/>
    <s v="Muy importante"/>
    <s v="Solo cuando el bus se retrase"/>
    <s v="Mayor tranquilidad y seguridad, Mejor organización de tiempos al saber el momento exacto de llegada, Reducción de preocupación por retrasos o imprevistos"/>
    <s v="Muy útil"/>
    <s v="Ver la ubicación del bus en tiempo real, Historial de recorridos, Registro de rutas pasadas, Integración con el calendario escolar"/>
    <s v="Aplicación móvil"/>
    <x v="0"/>
    <s v="Rara vez"/>
    <s v="Que cuando notifique que mi hijo dejo el bus suene bachata"/>
    <s v="Si"/>
  </r>
  <r>
    <d v="2025-06-09T07:24:18"/>
    <s v="Estudiante"/>
    <s v="JUAN ESTEBAN OME"/>
    <s v="Moderadamente importante"/>
    <s v="Solo cuando el bus se retrase"/>
    <s v="Mayor tranquilidad y seguridad, Reducción de preocupación por retrasos o imprevistos"/>
    <s v="Útil"/>
    <s v="Ver la ubicación del bus en tiempo real, Comunicación directa con el conductor o acudiente, Integración con el calendario escolar"/>
    <s v="Ambas"/>
    <x v="0"/>
    <s v="Nunca"/>
    <s v="IMPLEMENTAR RUTA ESCOLAR"/>
    <s v="Tal vez"/>
  </r>
  <r>
    <d v="2025-06-09T07:25:12"/>
    <s v="Estudiante"/>
    <s v="Diego Andrés Gutiérrez Nuñez"/>
    <s v="Muy importante"/>
    <s v="A diario"/>
    <s v="Mayor tranquilidad y seguridad"/>
    <s v="Muy útil"/>
    <s v="Ver la ubicación del bus en tiempo real, Saber si el bus está retrasado, Historial de recorridos, Registro de rutas pasadas"/>
    <s v="Ambas"/>
    <x v="2"/>
    <s v="Algunas veces"/>
    <s v="q cuando mi hijo se baje del bus, pongamos alertas personalizadas como phonksito"/>
    <s v="Si"/>
  </r>
  <r>
    <d v="2025-06-09T07:25:25"/>
    <s v="Estudiante"/>
    <s v="Keneth Santiago Rubiano Silva "/>
    <s v="Moderadamente importante"/>
    <s v="Solo cuando el bus se retrase"/>
    <s v="Mayor tranquilidad y seguridad, Mejor organización de tiempos al saber el momento exacto de llegada"/>
    <s v="Poco útil"/>
    <s v="Historial de recorridos"/>
    <s v="Ambas"/>
    <x v="3"/>
    <s v="Sí"/>
    <s v="Ninguna"/>
    <s v="Si"/>
  </r>
  <r>
    <d v="2025-06-09T07:26:18"/>
    <s v="Estudiante"/>
    <s v="Juan mauricio suaza solorzano "/>
    <s v="Poco importante"/>
    <s v="Solo cuando el bus se retrase"/>
    <s v="Reducción de preocupación por retrasos o imprevistos"/>
    <s v="Poco útil"/>
    <s v="Ver la ubicación del bus en tiempo real, Registro de rutas pasadas, Integración con el calendario escolar"/>
    <s v="Ambas"/>
    <x v="1"/>
    <s v="Algunas veces"/>
    <s v="Ninguna "/>
    <s v="Tal vez"/>
  </r>
  <r>
    <d v="2025-06-09T07:26:25"/>
    <s v="Estudiante"/>
    <s v="juan david cabrera caballero"/>
    <s v="Moderadamente importante"/>
    <s v="A diario"/>
    <s v="Mayor tranquilidad y seguridad"/>
    <s v="Útil"/>
    <s v="Ver la ubicación del bus en tiempo real, Comunicación directa con el conductor o acudiente, Historial de recorridos"/>
    <s v="Aplicación móvil"/>
    <x v="1"/>
    <s v="Algunas veces"/>
    <s v="Ninguna"/>
    <s v="Tal vez"/>
  </r>
  <r>
    <d v="2025-06-09T07:28:51"/>
    <s v="Estudiante"/>
    <s v="juan camilo fierro esquivel"/>
    <s v="Fundamental"/>
    <s v="A diario"/>
    <s v="Mayor tranquilidad y seguridad"/>
    <s v="Muy útil"/>
    <s v="Ver la ubicación del bus en tiempo real, Historial de recorridos"/>
    <s v="Aplicación móvil"/>
    <x v="1"/>
    <s v="Algunas veces"/>
    <s v="una sugerencia seria que la aplicacion mandara notificaciones de ves en cuando"/>
    <s v="Tal vez"/>
  </r>
  <r>
    <d v="2025-06-09T07:39:27"/>
    <s v="Estudiante"/>
    <s v="Luis Alejandro "/>
    <s v="Moderadamente importante"/>
    <s v="Solo cuando el bus se retrase"/>
    <s v="Mayor tranquilidad y seguridad, Reducción de preocupación por retrasos o imprevistos"/>
    <s v="Útil"/>
    <s v="Saber si el bus está retrasado, Comunicación directa con el conductor o acudiente, Historial de recorridos"/>
    <s v="Página web"/>
    <x v="4"/>
    <s v="Sí"/>
    <s v="Que respete la privacidad "/>
    <s v="No"/>
  </r>
  <r>
    <d v="2025-06-09T13:48:09"/>
    <s v="Estudiante"/>
    <s v="Juan Camilo Guilombo Osorio "/>
    <s v="Moderadamente importante"/>
    <s v="Solo cuando el bus se retrase"/>
    <s v="Mayor tranquilidad y seguridad, Mejor organización de tiempos al saber el momento exacto de llegada, Reducción de preocupación por retrasos o imprevistos"/>
    <s v="Útil"/>
    <s v="Saber si el bus está retrasado, Comunicación directa con el conductor o acudiente, Historial de recorridos, Registro de rutas pasadas"/>
    <s v="Aplicación móvil"/>
    <x v="2"/>
    <s v="Rara vez"/>
    <s v="Que funcione sin internet "/>
    <s v="Tal vez"/>
  </r>
  <r>
    <d v="2025-06-09T14:21:09"/>
    <s v="Estudiante"/>
    <s v="Brayan Estiven Patiño Cabrera "/>
    <s v="Muy importante"/>
    <s v="A diario"/>
    <s v="Reducción de preocupación por retrasos o imprevistos"/>
    <s v="Útil"/>
    <s v="Ver la ubicación del bus en tiempo real, Historial de recorridos, Registro de rutas pasadas"/>
    <s v="Aplicación móvil"/>
    <x v="0"/>
    <s v="Algunas veces"/>
    <s v="Ninguna, muy bien"/>
    <s v="Tal vez"/>
  </r>
  <r>
    <d v="2025-06-09T14:43:53"/>
    <s v="Estudiante"/>
    <s v="Miguel Angel Garcia Artunduaga"/>
    <s v="Moderadamente importante"/>
    <s v="A diario"/>
    <s v="Mayor tranquilidad y seguridad, Mejor organización de tiempos al saber el momento exacto de llegada, Reducción de preocupación por retrasos o imprevistos"/>
    <s v="Útil"/>
    <s v="Ver la ubicación del bus en tiempo real, Historial de recorridos, Integración con el calendario escolar"/>
    <s v="Aplicación móvil"/>
    <x v="0"/>
    <s v="Nunca"/>
    <s v="Nose"/>
    <s v="Tal vez"/>
  </r>
  <r>
    <d v="2025-06-11T06:33:52"/>
    <s v="Estudiante"/>
    <s v="Daniel Alejandro Mora Plata "/>
    <s v="Nada importante"/>
    <s v="Rara vez"/>
    <s v="Mayor tranquilidad y seguridad, Mejor organización de tiempos al saber el momento exacto de llegada, Reducción de preocupación por retrasos o imprevistos"/>
    <s v="Útil"/>
    <s v="Ver la ubicación del bus en tiempo real, Saber si el bus está retrasado, Comunicación directa con el conductor o acudiente, Historial de recorridos"/>
    <s v="Ambas"/>
    <x v="3"/>
    <s v="Sí"/>
    <s v="Ninguna, está bien"/>
    <s v="Si"/>
  </r>
  <r>
    <d v="2025-06-11T06:35:06"/>
    <s v="Estudiante"/>
    <s v="Nicole  Dayana Ramirez Vargas"/>
    <s v="Muy importante"/>
    <s v="Solo cuando el bus se retrase"/>
    <s v="Mayor tranquilidad y seguridad"/>
    <s v="Muy útil"/>
    <s v="Ver la ubicación del bus en tiempo real"/>
    <s v="Aplicación móvil"/>
    <x v="3"/>
    <s v="Sí"/>
    <s v="niguna"/>
    <s v="Si"/>
  </r>
  <r>
    <d v="2025-06-11T06:35:37"/>
    <s v="Estudiante"/>
    <s v="jose sebastian suarez cumaco"/>
    <s v="Poco importante"/>
    <s v="Rara vez"/>
    <s v="Reducción de preocupación por retrasos o imprevistos"/>
    <s v="Innecesaria"/>
    <s v="Historial de recorridos, Registro de rutas pasadas, Integración con el calendario escolar"/>
    <s v="Aplicación móvil"/>
    <x v="2"/>
    <s v="Nunca"/>
    <s v="esta bien asi"/>
    <s v="Tal vez"/>
  </r>
  <r>
    <d v="2025-06-11T06:35:49"/>
    <s v="Estudiante"/>
    <s v="juan esteban acosta ardila"/>
    <s v="Fundamental"/>
    <s v="Solo cuando el bus se retrase"/>
    <s v="Mayor tranquilidad y seguridad, Mejor organización de tiempos al saber el momento exacto de llegada"/>
    <s v="Muy útil"/>
    <s v="Ver la ubicación del bus en tiempo real, Saber si el bus está retrasado, Registro de rutas pasadas"/>
    <s v="Aplicación móvil"/>
    <x v="2"/>
    <s v="Algunas veces"/>
    <s v="que sea practica"/>
    <s v="Si"/>
  </r>
  <r>
    <d v="2025-06-11T06:35:52"/>
    <s v="Estudiante"/>
    <s v="Juan Manuel Gomez Suarez"/>
    <s v="Muy importante"/>
    <s v="Solo cuando el bus se retrase"/>
    <s v="Mayor tranquilidad y seguridad, Mejor organización de tiempos al saber el momento exacto de llegada"/>
    <s v="Muy útil"/>
    <s v="Ver la ubicación del bus en tiempo real, Saber si el bus está retrasado, Comunicación directa con el conductor o acudiente"/>
    <s v="Ambas"/>
    <x v="2"/>
    <s v="Algunas veces"/>
    <s v="ninguna, me parece que tiene todo "/>
    <s v="Si"/>
  </r>
  <r>
    <d v="2025-06-11T06:38:10"/>
    <s v="Estudiante"/>
    <s v="Thiago Fabian Rojas Guevara "/>
    <s v="Moderadamente importante"/>
    <s v="Solo cuando el bus se retrase"/>
    <s v="Mayor tranquilidad y seguridad, Mejor organización de tiempos al saber el momento exacto de llegada, Reducción de preocupación por retrasos o imprevistos"/>
    <s v="Útil"/>
    <s v="Ver la ubicación del bus en tiempo real, Comunicación directa con el conductor o acudiente"/>
    <s v="Aplicación móvil"/>
    <x v="4"/>
    <s v="Rara vez"/>
    <s v="Esta perfecta"/>
    <s v="Si"/>
  </r>
  <r>
    <d v="2025-06-11T06:42:14"/>
    <s v="Estudiante"/>
    <s v="Johan Felipe Repizo Aguirre "/>
    <s v="Muy importante"/>
    <s v="A diario"/>
    <s v="Mayor tranquilidad y seguridad"/>
    <s v="Muy útil"/>
    <s v="Ver la ubicación del bus en tiempo real, Saber si el bus está retrasado, Historial de recorridos"/>
    <s v="Ambas"/>
    <x v="0"/>
    <s v="Algunas veces"/>
    <s v="Ninguna "/>
    <s v="Si"/>
  </r>
  <r>
    <d v="2025-06-11T06:43:37"/>
    <s v="Estudiante"/>
    <s v="Juan Esteban Cortes Parra "/>
    <s v="Fundamental"/>
    <s v="A diario"/>
    <s v="Mayor tranquilidad y seguridad, Mejor organización de tiempos al saber el momento exacto de llegada, Reducción de preocupación por retrasos o imprevistos"/>
    <s v="Muy útil"/>
    <s v="Ver la ubicación del bus en tiempo real, Comunicación directa con el conductor o acudiente, Historial de recorridos"/>
    <s v="Ambas"/>
    <x v="0"/>
    <s v="Nunca"/>
    <s v="Pues solo que fuera que tenga buen rendimiento "/>
    <s v="Si"/>
  </r>
  <r>
    <d v="2025-06-11T06:44:11"/>
    <s v="Estudiante"/>
    <s v="David Santiago Erez Rodriguez "/>
    <s v="Fundamental"/>
    <s v="Solo cuando el bus se retrase"/>
    <s v="Mayor tranquilidad y seguridad, Mejor organización de tiempos al saber el momento exacto de llegada, Reducción de preocupación por retrasos o imprevistos"/>
    <s v="Útil"/>
    <s v="Ver la ubicación del bus en tiempo real, Saber si el bus está retrasado"/>
    <s v="Aplicación móvil"/>
    <x v="0"/>
    <s v="Nunca"/>
    <s v="Que tanga servicios especiales para las escuelas "/>
    <s v="No"/>
  </r>
  <r>
    <d v="2025-06-11T06:46:45"/>
    <s v="Estudiante"/>
    <s v="Jonattan Steven Rizo Solano"/>
    <s v="Moderadamente importante"/>
    <s v="A diario"/>
    <s v="Mayor tranquilidad y seguridad, Mejor organización de tiempos al saber el momento exacto de llegada"/>
    <s v="Útil"/>
    <s v="Ver la ubicación del bus en tiempo real, Saber si el bus está retrasado, Historial de recorridos"/>
    <s v="Aplicación móvil"/>
    <x v="2"/>
    <s v="Sí"/>
    <s v="Por ahora ninguno"/>
    <s v="Si"/>
  </r>
  <r>
    <d v="2025-06-11T06:48:24"/>
    <s v="Estudiante"/>
    <s v="Johan Sebastián Yucumá Molano "/>
    <s v="Fundamental"/>
    <s v="A diario"/>
    <s v="Mejor organización de tiempos al saber el momento exacto de llegada"/>
    <s v="Útil"/>
    <s v="Ver la ubicación del bus en tiempo real, Saber si el bus está retrasado, Historial de recorridos, Registro de rutas pasadas"/>
    <s v="Aplicación móvil"/>
    <x v="0"/>
    <s v="Rara vez"/>
    <s v="Que aparte de rutas escolares también muestre los desastres naturales que probablemente interferirian con la ruta"/>
    <s v="Tal vez"/>
  </r>
  <r>
    <d v="2025-06-11T06:53:23"/>
    <s v="Estudiante"/>
    <s v="Justin Daniela Bahamon "/>
    <s v="Muy importante"/>
    <s v="A diario"/>
    <s v="Mayor tranquilidad y seguridad"/>
    <s v="Muy útil"/>
    <s v="Ver la ubicación del bus en tiempo real, Comunicación directa con el conductor o acudiente, Historial de recorridos"/>
    <s v="Aplicación móvil"/>
    <x v="1"/>
    <s v="Nunca"/>
    <s v="Que te notifique si algo anda mal "/>
    <s v="No"/>
  </r>
  <r>
    <d v="2025-06-11T08:31:55"/>
    <s v="Estudiante"/>
    <s v="Yully Katherine Díaz Salas "/>
    <s v="Moderadamente importante"/>
    <s v="Solo cuando el bus se retrase"/>
    <s v="Mejor organización de tiempos al saber el momento exacto de llegada"/>
    <s v="Poco útil"/>
    <s v="Comunicación directa con el conductor o acudiente"/>
    <s v="Página web"/>
    <x v="3"/>
    <s v="Algunas veces"/>
    <s v="No tengo sugerencias "/>
    <s v="Si"/>
  </r>
  <r>
    <d v="2025-06-11T08:58:43"/>
    <s v="Estudiante"/>
    <s v="Willianni Godín Pérez "/>
    <s v="Muy importante"/>
    <s v="A diario"/>
    <s v="Mayor tranquilidad y seguridad, Reducción de preocupación por retrasos o imprevistos"/>
    <s v="Muy útil"/>
    <s v="Ver la ubicación del bus en tiempo real, Saber si el bus está retrasado, Comunicación directa con el conductor o acudiente"/>
    <s v="Aplicación móvil"/>
    <x v="0"/>
    <s v="Nunca"/>
    <s v="Realizar una encuesta cada trimestre para los estudiantes y padres, y así poder saber cómo se sienten y qué sugerencias tienen"/>
    <s v="No"/>
  </r>
  <r>
    <d v="2025-06-11T09:07:24"/>
    <s v="Padre / Madre / Acudiente"/>
    <s v="Kelly Yohana Ramirez Morales "/>
    <s v="Fundamental"/>
    <s v="A diario"/>
    <s v="Mayor tranquilidad y seguridad, Mejor organización de tiempos al saber el momento exacto de llegada, Reducción de preocupación por retrasos o imprevistos"/>
    <s v="Muy útil"/>
    <s v="Ver la ubicación del bus en tiempo real, Saber si el bus está retrasado, Comunicación directa con el conductor o acudiente, Historial de recorridos, Registro de rutas pasadas, Integración con el calendario escolar"/>
    <s v="Ambas"/>
    <x v="0"/>
    <s v="Sí"/>
    <s v="Ninguna "/>
    <s v="Si"/>
  </r>
  <r>
    <d v="2025-06-11T09:07:36"/>
    <s v="Padre / Madre / Acudiente"/>
    <s v="Juan esteban rojas ibarra"/>
    <s v="Fundamental"/>
    <s v="A diario"/>
    <s v="Mayor tranquilidad y seguridad, Mejor organización de tiempos al saber el momento exacto de llegada"/>
    <s v="Muy útil"/>
    <s v="Ver la ubicación del bus en tiempo real"/>
    <s v="Ambas"/>
    <x v="1"/>
    <s v="Algunas veces"/>
    <s v="Crear cuentas aparte de cada recorrido"/>
    <s v="Tal vez"/>
  </r>
  <r>
    <d v="2025-06-11T09:09:12"/>
    <s v="Padre / Madre / Acudiente"/>
    <s v="JUAN PABLO ROJAS"/>
    <s v="Fundamental"/>
    <s v="A diario"/>
    <s v="Mayor tranquilidad y seguridad, Mejor organización de tiempos al saber el momento exacto de llegada, Reducción de preocupación por retrasos o imprevistos"/>
    <s v="Muy útil"/>
    <s v="Ver la ubicación del bus en tiempo real, Saber si el bus está retrasado, Comunicación directa con el conductor o acudiente, Historial de recorridos, Integración con el calendario escolar"/>
    <s v="Ambas"/>
    <x v="1"/>
    <s v="Sí"/>
    <s v="Que sea de fácil uso y la compatibilidad en móviles sea para Androide y Iphone"/>
    <s v="Si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5-06-09T07:22:55"/>
    <s v="Estudiante"/>
    <s v="maria de los angeles olaya garcia "/>
    <s v="Moderadamente importante"/>
    <s v="A diario"/>
    <s v="Mayor tranquilidad y seguridad"/>
    <s v="Muy útil"/>
    <s v="Ver la ubicación del bus en tiempo real, Saber si el bus está retrasado, Comunicación directa con el conductor o acudiente, Historial de recorridos"/>
    <s v="Aplicación móvil"/>
    <s v="Esencial que sea extremadamente segura"/>
    <x v="0"/>
    <s v="que tenga acceso a numeros de contacto en caso de emergencias "/>
    <s v="Si"/>
  </r>
  <r>
    <d v="2025-06-09T07:23:26"/>
    <s v="Estudiante"/>
    <s v="Jhon Jairo Cortez VArgas"/>
    <s v="Moderadamente importante"/>
    <s v="Solo cuando el bus se retrase"/>
    <s v="Mayor tranquilidad y seguridad"/>
    <s v="Útil"/>
    <s v="Ver la ubicación del bus en tiempo real, Saber si el bus está retrasado, Historial de recorridos, Registro de rutas pasadas"/>
    <s v="Aplicación móvil"/>
    <s v="Muy confiable"/>
    <x v="1"/>
    <s v="Que en caso de emergencias se pueda llamar a la policia, bomberos o hospitales desde la app"/>
    <s v="Si"/>
  </r>
  <r>
    <d v="2025-06-09T07:24:12"/>
    <s v="Estudiante"/>
    <s v="Juan David Arboleda Perdomo"/>
    <s v="Muy importante"/>
    <s v="Solo cuando el bus se retrase"/>
    <s v="Mayor tranquilidad y seguridad, Mejor organización de tiempos al saber el momento exacto de llegada, Reducción de preocupación por retrasos o imprevistos"/>
    <s v="Muy útil"/>
    <s v="Ver la ubicación del bus en tiempo real, Historial de recorridos, Registro de rutas pasadas, Integración con el calendario escolar"/>
    <s v="Aplicación móvil"/>
    <s v="Esencial que sea extremadamente segura"/>
    <x v="2"/>
    <s v="Que cuando notifique que mi hijo dejo el bus suene bachata"/>
    <s v="Si"/>
  </r>
  <r>
    <d v="2025-06-09T07:24:18"/>
    <s v="Estudiante"/>
    <s v="JUAN ESTEBAN OME"/>
    <s v="Moderadamente importante"/>
    <s v="Solo cuando el bus se retrase"/>
    <s v="Mayor tranquilidad y seguridad, Reducción de preocupación por retrasos o imprevistos"/>
    <s v="Útil"/>
    <s v="Ver la ubicación del bus en tiempo real, Comunicación directa con el conductor o acudiente, Integración con el calendario escolar"/>
    <s v="Ambas"/>
    <s v="Esencial que sea extremadamente segura"/>
    <x v="3"/>
    <s v="IMPLEMENTAR RUTA ESCOLAR"/>
    <s v="Tal vez"/>
  </r>
  <r>
    <d v="2025-06-09T07:25:12"/>
    <s v="Estudiante"/>
    <s v="Diego Andrés Gutiérrez Nuñez"/>
    <s v="Muy importante"/>
    <s v="A diario"/>
    <s v="Mayor tranquilidad y seguridad"/>
    <s v="Muy útil"/>
    <s v="Ver la ubicación del bus en tiempo real, Saber si el bus está retrasado, Historial de recorridos, Registro de rutas pasadas"/>
    <s v="Ambas"/>
    <s v="Confiable"/>
    <x v="1"/>
    <s v="q cuando mi hijo se baje del bus, pongamos alertas personalizadas como phonksito"/>
    <s v="Si"/>
  </r>
  <r>
    <d v="2025-06-09T07:25:25"/>
    <s v="Estudiante"/>
    <s v="Keneth Santiago Rubiano Silva "/>
    <s v="Moderadamente importante"/>
    <s v="Solo cuando el bus se retrase"/>
    <s v="Mayor tranquilidad y seguridad, Mejor organización de tiempos al saber el momento exacto de llegada"/>
    <s v="Poco útil"/>
    <s v="Historial de recorridos"/>
    <s v="Ambas"/>
    <s v="Medianamente confiable"/>
    <x v="0"/>
    <s v="Ninguna"/>
    <s v="Si"/>
  </r>
  <r>
    <d v="2025-06-09T07:26:18"/>
    <s v="Estudiante"/>
    <s v="Juan mauricio suaza solorzano "/>
    <s v="Poco importante"/>
    <s v="Solo cuando el bus se retrase"/>
    <s v="Reducción de preocupación por retrasos o imprevistos"/>
    <s v="Poco útil"/>
    <s v="Ver la ubicación del bus en tiempo real, Registro de rutas pasadas, Integración con el calendario escolar"/>
    <s v="Ambas"/>
    <s v="Muy confiable"/>
    <x v="1"/>
    <s v="Ninguna "/>
    <s v="Tal vez"/>
  </r>
  <r>
    <d v="2025-06-09T07:26:25"/>
    <s v="Estudiante"/>
    <s v="juan david cabrera caballero"/>
    <s v="Moderadamente importante"/>
    <s v="A diario"/>
    <s v="Mayor tranquilidad y seguridad"/>
    <s v="Útil"/>
    <s v="Ver la ubicación del bus en tiempo real, Comunicación directa con el conductor o acudiente, Historial de recorridos"/>
    <s v="Aplicación móvil"/>
    <s v="Muy confiable"/>
    <x v="1"/>
    <s v="Ninguna"/>
    <s v="Tal vez"/>
  </r>
  <r>
    <d v="2025-06-09T07:28:51"/>
    <s v="Estudiante"/>
    <s v="juan camilo fierro esquivel"/>
    <s v="Fundamental"/>
    <s v="A diario"/>
    <s v="Mayor tranquilidad y seguridad"/>
    <s v="Muy útil"/>
    <s v="Ver la ubicación del bus en tiempo real, Historial de recorridos"/>
    <s v="Aplicación móvil"/>
    <s v="Muy confiable"/>
    <x v="1"/>
    <s v="una sugerencia seria que la aplicacion mandara notificaciones de ves en cuando"/>
    <s v="Tal vez"/>
  </r>
  <r>
    <d v="2025-06-09T07:39:27"/>
    <s v="Estudiante"/>
    <s v="Luis Alejandro "/>
    <s v="Moderadamente importante"/>
    <s v="Solo cuando el bus se retrase"/>
    <s v="Mayor tranquilidad y seguridad, Reducción de preocupación por retrasos o imprevistos"/>
    <s v="Útil"/>
    <s v="Saber si el bus está retrasado, Comunicación directa con el conductor o acudiente, Historial de recorridos"/>
    <s v="Página web"/>
    <s v="Poco confiable"/>
    <x v="0"/>
    <s v="Que respete la privacidad "/>
    <s v="No"/>
  </r>
  <r>
    <d v="2025-06-09T13:48:09"/>
    <s v="Estudiante"/>
    <s v="Juan Camilo Guilombo Osorio "/>
    <s v="Moderadamente importante"/>
    <s v="Solo cuando el bus se retrase"/>
    <s v="Mayor tranquilidad y seguridad, Mejor organización de tiempos al saber el momento exacto de llegada, Reducción de preocupación por retrasos o imprevistos"/>
    <s v="Útil"/>
    <s v="Saber si el bus está retrasado, Comunicación directa con el conductor o acudiente, Historial de recorridos, Registro de rutas pasadas"/>
    <s v="Aplicación móvil"/>
    <s v="Confiable"/>
    <x v="2"/>
    <s v="Que funcione sin internet "/>
    <s v="Tal vez"/>
  </r>
  <r>
    <d v="2025-06-09T14:21:09"/>
    <s v="Estudiante"/>
    <s v="Brayan Estiven Patiño Cabrera "/>
    <s v="Muy importante"/>
    <s v="A diario"/>
    <s v="Reducción de preocupación por retrasos o imprevistos"/>
    <s v="Útil"/>
    <s v="Ver la ubicación del bus en tiempo real, Historial de recorridos, Registro de rutas pasadas"/>
    <s v="Aplicación móvil"/>
    <s v="Esencial que sea extremadamente segura"/>
    <x v="1"/>
    <s v="Ninguna, muy bien"/>
    <s v="Tal vez"/>
  </r>
  <r>
    <d v="2025-06-09T14:43:53"/>
    <s v="Estudiante"/>
    <s v="Miguel Angel Garcia Artunduaga"/>
    <s v="Moderadamente importante"/>
    <s v="A diario"/>
    <s v="Mayor tranquilidad y seguridad, Mejor organización de tiempos al saber el momento exacto de llegada, Reducción de preocupación por retrasos o imprevistos"/>
    <s v="Útil"/>
    <s v="Ver la ubicación del bus en tiempo real, Historial de recorridos, Integración con el calendario escolar"/>
    <s v="Aplicación móvil"/>
    <s v="Esencial que sea extremadamente segura"/>
    <x v="3"/>
    <s v="Nose"/>
    <s v="Tal vez"/>
  </r>
  <r>
    <d v="2025-06-11T06:33:52"/>
    <s v="Estudiante"/>
    <s v="Daniel Alejandro Mora Plata "/>
    <s v="Nada importante"/>
    <s v="Rara vez"/>
    <s v="Mayor tranquilidad y seguridad, Mejor organización de tiempos al saber el momento exacto de llegada, Reducción de preocupación por retrasos o imprevistos"/>
    <s v="Útil"/>
    <s v="Ver la ubicación del bus en tiempo real, Saber si el bus está retrasado, Comunicación directa con el conductor o acudiente, Historial de recorridos"/>
    <s v="Ambas"/>
    <s v="Medianamente confiable"/>
    <x v="0"/>
    <s v="Ninguna, está bien"/>
    <s v="Si"/>
  </r>
  <r>
    <d v="2025-06-11T06:35:06"/>
    <s v="Estudiante"/>
    <s v="Nicole  Dayana Ramirez Vargas"/>
    <s v="Muy importante"/>
    <s v="Solo cuando el bus se retrase"/>
    <s v="Mayor tranquilidad y seguridad"/>
    <s v="Muy útil"/>
    <s v="Ver la ubicación del bus en tiempo real"/>
    <s v="Aplicación móvil"/>
    <s v="Medianamente confiable"/>
    <x v="0"/>
    <s v="niguna"/>
    <s v="Si"/>
  </r>
  <r>
    <d v="2025-06-11T06:35:37"/>
    <s v="Estudiante"/>
    <s v="jose sebastian suarez cumaco"/>
    <s v="Poco importante"/>
    <s v="Rara vez"/>
    <s v="Reducción de preocupación por retrasos o imprevistos"/>
    <s v="Innecesaria"/>
    <s v="Historial de recorridos, Registro de rutas pasadas, Integración con el calendario escolar"/>
    <s v="Aplicación móvil"/>
    <s v="Confiable"/>
    <x v="3"/>
    <s v="esta bien asi"/>
    <s v="Tal vez"/>
  </r>
  <r>
    <d v="2025-06-11T06:35:49"/>
    <s v="Estudiante"/>
    <s v="juan esteban acosta ardila"/>
    <s v="Fundamental"/>
    <s v="Solo cuando el bus se retrase"/>
    <s v="Mayor tranquilidad y seguridad, Mejor organización de tiempos al saber el momento exacto de llegada"/>
    <s v="Muy útil"/>
    <s v="Ver la ubicación del bus en tiempo real, Saber si el bus está retrasado, Registro de rutas pasadas"/>
    <s v="Aplicación móvil"/>
    <s v="Confiable"/>
    <x v="1"/>
    <s v="que sea practica"/>
    <s v="Si"/>
  </r>
  <r>
    <d v="2025-06-11T06:35:52"/>
    <s v="Estudiante"/>
    <s v="Juan Manuel Gomez Suarez"/>
    <s v="Muy importante"/>
    <s v="Solo cuando el bus se retrase"/>
    <s v="Mayor tranquilidad y seguridad, Mejor organización de tiempos al saber el momento exacto de llegada"/>
    <s v="Muy útil"/>
    <s v="Ver la ubicación del bus en tiempo real, Saber si el bus está retrasado, Comunicación directa con el conductor o acudiente"/>
    <s v="Ambas"/>
    <s v="Confiable"/>
    <x v="1"/>
    <s v="ninguna, me parece que tiene todo "/>
    <s v="Si"/>
  </r>
  <r>
    <d v="2025-06-11T06:38:10"/>
    <s v="Estudiante"/>
    <s v="Thiago Fabian Rojas Guevara "/>
    <s v="Moderadamente importante"/>
    <s v="Solo cuando el bus se retrase"/>
    <s v="Mayor tranquilidad y seguridad, Mejor organización de tiempos al saber el momento exacto de llegada, Reducción de preocupación por retrasos o imprevistos"/>
    <s v="Útil"/>
    <s v="Ver la ubicación del bus en tiempo real, Comunicación directa con el conductor o acudiente"/>
    <s v="Aplicación móvil"/>
    <s v="Poco confiable"/>
    <x v="2"/>
    <s v="Esta perfecta"/>
    <s v="Si"/>
  </r>
  <r>
    <d v="2025-06-11T06:42:14"/>
    <s v="Estudiante"/>
    <s v="Johan Felipe Repizo Aguirre "/>
    <s v="Muy importante"/>
    <s v="A diario"/>
    <s v="Mayor tranquilidad y seguridad"/>
    <s v="Muy útil"/>
    <s v="Ver la ubicación del bus en tiempo real, Saber si el bus está retrasado, Historial de recorridos"/>
    <s v="Ambas"/>
    <s v="Esencial que sea extremadamente segura"/>
    <x v="1"/>
    <s v="Ninguna "/>
    <s v="Si"/>
  </r>
  <r>
    <d v="2025-06-11T06:43:37"/>
    <s v="Estudiante"/>
    <s v="Juan Esteban Cortes Parra "/>
    <s v="Fundamental"/>
    <s v="A diario"/>
    <s v="Mayor tranquilidad y seguridad, Mejor organización de tiempos al saber el momento exacto de llegada, Reducción de preocupación por retrasos o imprevistos"/>
    <s v="Muy útil"/>
    <s v="Ver la ubicación del bus en tiempo real, Comunicación directa con el conductor o acudiente, Historial de recorridos"/>
    <s v="Ambas"/>
    <s v="Esencial que sea extremadamente segura"/>
    <x v="3"/>
    <s v="Pues solo que fuera que tenga buen rendimiento "/>
    <s v="Si"/>
  </r>
  <r>
    <d v="2025-06-11T06:44:11"/>
    <s v="Estudiante"/>
    <s v="David Santiago Erez Rodriguez "/>
    <s v="Fundamental"/>
    <s v="Solo cuando el bus se retrase"/>
    <s v="Mayor tranquilidad y seguridad, Mejor organización de tiempos al saber el momento exacto de llegada, Reducción de preocupación por retrasos o imprevistos"/>
    <s v="Útil"/>
    <s v="Ver la ubicación del bus en tiempo real, Saber si el bus está retrasado"/>
    <s v="Aplicación móvil"/>
    <s v="Esencial que sea extremadamente segura"/>
    <x v="3"/>
    <s v="Que tanga servicios especiales para las escuelas "/>
    <s v="No"/>
  </r>
  <r>
    <d v="2025-06-11T06:46:45"/>
    <s v="Estudiante"/>
    <s v="Jonattan Steven Rizo Solano"/>
    <s v="Moderadamente importante"/>
    <s v="A diario"/>
    <s v="Mayor tranquilidad y seguridad, Mejor organización de tiempos al saber el momento exacto de llegada"/>
    <s v="Útil"/>
    <s v="Ver la ubicación del bus en tiempo real, Saber si el bus está retrasado, Historial de recorridos"/>
    <s v="Aplicación móvil"/>
    <s v="Confiable"/>
    <x v="0"/>
    <s v="Por ahora ninguno"/>
    <s v="Si"/>
  </r>
  <r>
    <d v="2025-06-11T06:48:24"/>
    <s v="Estudiante"/>
    <s v="Johan Sebastián Yucumá Molano "/>
    <s v="Fundamental"/>
    <s v="A diario"/>
    <s v="Mejor organización de tiempos al saber el momento exacto de llegada"/>
    <s v="Útil"/>
    <s v="Ver la ubicación del bus en tiempo real, Saber si el bus está retrasado, Historial de recorridos, Registro de rutas pasadas"/>
    <s v="Aplicación móvil"/>
    <s v="Esencial que sea extremadamente segura"/>
    <x v="2"/>
    <s v="Que aparte de rutas escolares también muestre los desastres naturales que probablemente interferirian con la ruta"/>
    <s v="Tal vez"/>
  </r>
  <r>
    <d v="2025-06-11T06:53:23"/>
    <s v="Estudiante"/>
    <s v="Justin Daniela Bahamon "/>
    <s v="Muy importante"/>
    <s v="A diario"/>
    <s v="Mayor tranquilidad y seguridad"/>
    <s v="Muy útil"/>
    <s v="Ver la ubicación del bus en tiempo real, Comunicación directa con el conductor o acudiente, Historial de recorridos"/>
    <s v="Aplicación móvil"/>
    <s v="Muy confiable"/>
    <x v="3"/>
    <s v="Que te notifique si algo anda mal "/>
    <s v="No"/>
  </r>
  <r>
    <d v="2025-06-11T08:31:55"/>
    <s v="Estudiante"/>
    <s v="Yully Katherine Díaz Salas "/>
    <s v="Moderadamente importante"/>
    <s v="Solo cuando el bus se retrase"/>
    <s v="Mejor organización de tiempos al saber el momento exacto de llegada"/>
    <s v="Poco útil"/>
    <s v="Comunicación directa con el conductor o acudiente"/>
    <s v="Página web"/>
    <s v="Medianamente confiable"/>
    <x v="1"/>
    <s v="No tengo sugerencias "/>
    <s v="Si"/>
  </r>
  <r>
    <d v="2025-06-11T08:58:43"/>
    <s v="Estudiante"/>
    <s v="Willianni Godín Pérez "/>
    <s v="Muy importante"/>
    <s v="A diario"/>
    <s v="Mayor tranquilidad y seguridad, Reducción de preocupación por retrasos o imprevistos"/>
    <s v="Muy útil"/>
    <s v="Ver la ubicación del bus en tiempo real, Saber si el bus está retrasado, Comunicación directa con el conductor o acudiente"/>
    <s v="Aplicación móvil"/>
    <s v="Esencial que sea extremadamente segura"/>
    <x v="3"/>
    <s v="Realizar una encuesta cada trimestre para los estudiantes y padres, y así poder saber cómo se sienten y qué sugerencias tienen"/>
    <s v="No"/>
  </r>
  <r>
    <d v="2025-06-11T09:07:24"/>
    <s v="Padre / Madre / Acudiente"/>
    <s v="Kelly Yohana Ramirez Morales "/>
    <s v="Fundamental"/>
    <s v="A diario"/>
    <s v="Mayor tranquilidad y seguridad, Mejor organización de tiempos al saber el momento exacto de llegada, Reducción de preocupación por retrasos o imprevistos"/>
    <s v="Muy útil"/>
    <s v="Ver la ubicación del bus en tiempo real, Saber si el bus está retrasado, Comunicación directa con el conductor o acudiente, Historial de recorridos, Registro de rutas pasadas, Integración con el calendario escolar"/>
    <s v="Ambas"/>
    <s v="Esencial que sea extremadamente segura"/>
    <x v="0"/>
    <s v="Ninguna "/>
    <s v="Si"/>
  </r>
  <r>
    <d v="2025-06-11T09:07:36"/>
    <s v="Padre / Madre / Acudiente"/>
    <s v="Juan esteban rojas ibarra"/>
    <s v="Fundamental"/>
    <s v="A diario"/>
    <s v="Mayor tranquilidad y seguridad, Mejor organización de tiempos al saber el momento exacto de llegada"/>
    <s v="Muy útil"/>
    <s v="Ver la ubicación del bus en tiempo real"/>
    <s v="Ambas"/>
    <s v="Muy confiable"/>
    <x v="1"/>
    <s v="Crear cuentas aparte de cada recorrido"/>
    <s v="Tal vez"/>
  </r>
  <r>
    <d v="2025-06-11T09:09:12"/>
    <s v="Padre / Madre / Acudiente"/>
    <s v="JUAN PABLO ROJAS"/>
    <s v="Fundamental"/>
    <s v="A diario"/>
    <s v="Mayor tranquilidad y seguridad, Mejor organización de tiempos al saber el momento exacto de llegada, Reducción de preocupación por retrasos o imprevistos"/>
    <s v="Muy útil"/>
    <s v="Ver la ubicación del bus en tiempo real, Saber si el bus está retrasado, Comunicación directa con el conductor o acudiente, Historial de recorridos, Integración con el calendario escolar"/>
    <s v="Ambas"/>
    <s v="Muy confiable"/>
    <x v="0"/>
    <s v="Que sea de fácil uso y la compatibilidad en móviles sea para Androide y Iphone"/>
    <s v="Si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5-06-09T07:22:55"/>
    <s v="Estudiante"/>
    <s v="maria de los angeles olaya garcia "/>
    <s v="Moderadamente importante"/>
    <s v="A diario"/>
    <s v="Mayor tranquilidad y seguridad"/>
    <s v="Muy útil"/>
    <s v="Ver la ubicación del bus en tiempo real, Saber si el bus está retrasado, Comunicación directa con el conductor o acudiente, Historial de recorridos"/>
    <s v="Aplicación móvil"/>
    <s v="Esencial que sea extremadamente segura"/>
    <s v="Sí"/>
    <s v="que tenga acceso a numeros de contacto en caso de emergencias "/>
    <x v="0"/>
  </r>
  <r>
    <d v="2025-06-09T07:23:26"/>
    <s v="Estudiante"/>
    <s v="Jhon Jairo Cortez VArgas"/>
    <s v="Moderadamente importante"/>
    <s v="Solo cuando el bus se retrase"/>
    <s v="Mayor tranquilidad y seguridad"/>
    <s v="Útil"/>
    <s v="Ver la ubicación del bus en tiempo real, Saber si el bus está retrasado, Historial de recorridos, Registro de rutas pasadas"/>
    <s v="Aplicación móvil"/>
    <s v="Muy confiable"/>
    <s v="Algunas veces"/>
    <s v="Que en caso de emergencias se pueda llamar a la policia, bomberos o hospitales desde la app"/>
    <x v="0"/>
  </r>
  <r>
    <d v="2025-06-09T07:24:12"/>
    <s v="Estudiante"/>
    <s v="Juan David Arboleda Perdomo"/>
    <s v="Muy importante"/>
    <s v="Solo cuando el bus se retrase"/>
    <s v="Mayor tranquilidad y seguridad, Mejor organización de tiempos al saber el momento exacto de llegada, Reducción de preocupación por retrasos o imprevistos"/>
    <s v="Muy útil"/>
    <s v="Ver la ubicación del bus en tiempo real, Historial de recorridos, Registro de rutas pasadas, Integración con el calendario escolar"/>
    <s v="Aplicación móvil"/>
    <s v="Esencial que sea extremadamente segura"/>
    <s v="Rara vez"/>
    <s v="Que cuando notifique que mi hijo dejo el bus suene bachata"/>
    <x v="0"/>
  </r>
  <r>
    <d v="2025-06-09T07:24:18"/>
    <s v="Estudiante"/>
    <s v="JUAN ESTEBAN OME"/>
    <s v="Moderadamente importante"/>
    <s v="Solo cuando el bus se retrase"/>
    <s v="Mayor tranquilidad y seguridad, Reducción de preocupación por retrasos o imprevistos"/>
    <s v="Útil"/>
    <s v="Ver la ubicación del bus en tiempo real, Comunicación directa con el conductor o acudiente, Integración con el calendario escolar"/>
    <s v="Ambas"/>
    <s v="Esencial que sea extremadamente segura"/>
    <s v="Nunca"/>
    <s v="IMPLEMENTAR RUTA ESCOLAR"/>
    <x v="1"/>
  </r>
  <r>
    <d v="2025-06-09T07:25:12"/>
    <s v="Estudiante"/>
    <s v="Diego Andrés Gutiérrez Nuñez"/>
    <s v="Muy importante"/>
    <s v="A diario"/>
    <s v="Mayor tranquilidad y seguridad"/>
    <s v="Muy útil"/>
    <s v="Ver la ubicación del bus en tiempo real, Saber si el bus está retrasado, Historial de recorridos, Registro de rutas pasadas"/>
    <s v="Ambas"/>
    <s v="Confiable"/>
    <s v="Algunas veces"/>
    <s v="q cuando mi hijo se baje del bus, pongamos alertas personalizadas como phonksito"/>
    <x v="0"/>
  </r>
  <r>
    <d v="2025-06-09T07:25:25"/>
    <s v="Estudiante"/>
    <s v="Keneth Santiago Rubiano Silva "/>
    <s v="Moderadamente importante"/>
    <s v="Solo cuando el bus se retrase"/>
    <s v="Mayor tranquilidad y seguridad, Mejor organización de tiempos al saber el momento exacto de llegada"/>
    <s v="Poco útil"/>
    <s v="Historial de recorridos"/>
    <s v="Ambas"/>
    <s v="Medianamente confiable"/>
    <s v="Sí"/>
    <s v="Ninguna"/>
    <x v="0"/>
  </r>
  <r>
    <d v="2025-06-09T07:26:18"/>
    <s v="Estudiante"/>
    <s v="Juan mauricio suaza solorzano "/>
    <s v="Poco importante"/>
    <s v="Solo cuando el bus se retrase"/>
    <s v="Reducción de preocupación por retrasos o imprevistos"/>
    <s v="Poco útil"/>
    <s v="Ver la ubicación del bus en tiempo real, Registro de rutas pasadas, Integración con el calendario escolar"/>
    <s v="Ambas"/>
    <s v="Muy confiable"/>
    <s v="Algunas veces"/>
    <s v="Ninguna "/>
    <x v="1"/>
  </r>
  <r>
    <d v="2025-06-09T07:26:25"/>
    <s v="Estudiante"/>
    <s v="juan david cabrera caballero"/>
    <s v="Moderadamente importante"/>
    <s v="A diario"/>
    <s v="Mayor tranquilidad y seguridad"/>
    <s v="Útil"/>
    <s v="Ver la ubicación del bus en tiempo real, Comunicación directa con el conductor o acudiente, Historial de recorridos"/>
    <s v="Aplicación móvil"/>
    <s v="Muy confiable"/>
    <s v="Algunas veces"/>
    <s v="Ninguna"/>
    <x v="1"/>
  </r>
  <r>
    <d v="2025-06-09T07:28:51"/>
    <s v="Estudiante"/>
    <s v="juan camilo fierro esquivel"/>
    <s v="Fundamental"/>
    <s v="A diario"/>
    <s v="Mayor tranquilidad y seguridad"/>
    <s v="Muy útil"/>
    <s v="Ver la ubicación del bus en tiempo real, Historial de recorridos"/>
    <s v="Aplicación móvil"/>
    <s v="Muy confiable"/>
    <s v="Algunas veces"/>
    <s v="una sugerencia seria que la aplicacion mandara notificaciones de ves en cuando"/>
    <x v="1"/>
  </r>
  <r>
    <d v="2025-06-09T07:39:27"/>
    <s v="Estudiante"/>
    <s v="Luis Alejandro "/>
    <s v="Moderadamente importante"/>
    <s v="Solo cuando el bus se retrase"/>
    <s v="Mayor tranquilidad y seguridad, Reducción de preocupación por retrasos o imprevistos"/>
    <s v="Útil"/>
    <s v="Saber si el bus está retrasado, Comunicación directa con el conductor o acudiente, Historial de recorridos"/>
    <s v="Página web"/>
    <s v="Poco confiable"/>
    <s v="Sí"/>
    <s v="Que respete la privacidad "/>
    <x v="2"/>
  </r>
  <r>
    <d v="2025-06-09T13:48:09"/>
    <s v="Estudiante"/>
    <s v="Juan Camilo Guilombo Osorio "/>
    <s v="Moderadamente importante"/>
    <s v="Solo cuando el bus se retrase"/>
    <s v="Mayor tranquilidad y seguridad, Mejor organización de tiempos al saber el momento exacto de llegada, Reducción de preocupación por retrasos o imprevistos"/>
    <s v="Útil"/>
    <s v="Saber si el bus está retrasado, Comunicación directa con el conductor o acudiente, Historial de recorridos, Registro de rutas pasadas"/>
    <s v="Aplicación móvil"/>
    <s v="Confiable"/>
    <s v="Rara vez"/>
    <s v="Que funcione sin internet "/>
    <x v="1"/>
  </r>
  <r>
    <d v="2025-06-09T14:21:09"/>
    <s v="Estudiante"/>
    <s v="Brayan Estiven Patiño Cabrera "/>
    <s v="Muy importante"/>
    <s v="A diario"/>
    <s v="Reducción de preocupación por retrasos o imprevistos"/>
    <s v="Útil"/>
    <s v="Ver la ubicación del bus en tiempo real, Historial de recorridos, Registro de rutas pasadas"/>
    <s v="Aplicación móvil"/>
    <s v="Esencial que sea extremadamente segura"/>
    <s v="Algunas veces"/>
    <s v="Ninguna, muy bien"/>
    <x v="1"/>
  </r>
  <r>
    <d v="2025-06-09T14:43:53"/>
    <s v="Estudiante"/>
    <s v="Miguel Angel Garcia Artunduaga"/>
    <s v="Moderadamente importante"/>
    <s v="A diario"/>
    <s v="Mayor tranquilidad y seguridad, Mejor organización de tiempos al saber el momento exacto de llegada, Reducción de preocupación por retrasos o imprevistos"/>
    <s v="Útil"/>
    <s v="Ver la ubicación del bus en tiempo real, Historial de recorridos, Integración con el calendario escolar"/>
    <s v="Aplicación móvil"/>
    <s v="Esencial que sea extremadamente segura"/>
    <s v="Nunca"/>
    <s v="Nose"/>
    <x v="1"/>
  </r>
  <r>
    <d v="2025-06-11T06:33:52"/>
    <s v="Estudiante"/>
    <s v="Daniel Alejandro Mora Plata "/>
    <s v="Nada importante"/>
    <s v="Rara vez"/>
    <s v="Mayor tranquilidad y seguridad, Mejor organización de tiempos al saber el momento exacto de llegada, Reducción de preocupación por retrasos o imprevistos"/>
    <s v="Útil"/>
    <s v="Ver la ubicación del bus en tiempo real, Saber si el bus está retrasado, Comunicación directa con el conductor o acudiente, Historial de recorridos"/>
    <s v="Ambas"/>
    <s v="Medianamente confiable"/>
    <s v="Sí"/>
    <s v="Ninguna, está bien"/>
    <x v="0"/>
  </r>
  <r>
    <d v="2025-06-11T06:35:06"/>
    <s v="Estudiante"/>
    <s v="Nicole  Dayana Ramirez Vargas"/>
    <s v="Muy importante"/>
    <s v="Solo cuando el bus se retrase"/>
    <s v="Mayor tranquilidad y seguridad"/>
    <s v="Muy útil"/>
    <s v="Ver la ubicación del bus en tiempo real"/>
    <s v="Aplicación móvil"/>
    <s v="Medianamente confiable"/>
    <s v="Sí"/>
    <s v="niguna"/>
    <x v="0"/>
  </r>
  <r>
    <d v="2025-06-11T06:35:37"/>
    <s v="Estudiante"/>
    <s v="jose sebastian suarez cumaco"/>
    <s v="Poco importante"/>
    <s v="Rara vez"/>
    <s v="Reducción de preocupación por retrasos o imprevistos"/>
    <s v="Innecesaria"/>
    <s v="Historial de recorridos, Registro de rutas pasadas, Integración con el calendario escolar"/>
    <s v="Aplicación móvil"/>
    <s v="Confiable"/>
    <s v="Nunca"/>
    <s v="esta bien asi"/>
    <x v="1"/>
  </r>
  <r>
    <d v="2025-06-11T06:35:49"/>
    <s v="Estudiante"/>
    <s v="juan esteban acosta ardila"/>
    <s v="Fundamental"/>
    <s v="Solo cuando el bus se retrase"/>
    <s v="Mayor tranquilidad y seguridad, Mejor organización de tiempos al saber el momento exacto de llegada"/>
    <s v="Muy útil"/>
    <s v="Ver la ubicación del bus en tiempo real, Saber si el bus está retrasado, Registro de rutas pasadas"/>
    <s v="Aplicación móvil"/>
    <s v="Confiable"/>
    <s v="Algunas veces"/>
    <s v="que sea practica"/>
    <x v="0"/>
  </r>
  <r>
    <d v="2025-06-11T06:35:52"/>
    <s v="Estudiante"/>
    <s v="Juan Manuel Gomez Suarez"/>
    <s v="Muy importante"/>
    <s v="Solo cuando el bus se retrase"/>
    <s v="Mayor tranquilidad y seguridad, Mejor organización de tiempos al saber el momento exacto de llegada"/>
    <s v="Muy útil"/>
    <s v="Ver la ubicación del bus en tiempo real, Saber si el bus está retrasado, Comunicación directa con el conductor o acudiente"/>
    <s v="Ambas"/>
    <s v="Confiable"/>
    <s v="Algunas veces"/>
    <s v="ninguna, me parece que tiene todo "/>
    <x v="0"/>
  </r>
  <r>
    <d v="2025-06-11T06:38:10"/>
    <s v="Estudiante"/>
    <s v="Thiago Fabian Rojas Guevara "/>
    <s v="Moderadamente importante"/>
    <s v="Solo cuando el bus se retrase"/>
    <s v="Mayor tranquilidad y seguridad, Mejor organización de tiempos al saber el momento exacto de llegada, Reducción de preocupación por retrasos o imprevistos"/>
    <s v="Útil"/>
    <s v="Ver la ubicación del bus en tiempo real, Comunicación directa con el conductor o acudiente"/>
    <s v="Aplicación móvil"/>
    <s v="Poco confiable"/>
    <s v="Rara vez"/>
    <s v="Esta perfecta"/>
    <x v="0"/>
  </r>
  <r>
    <d v="2025-06-11T06:42:14"/>
    <s v="Estudiante"/>
    <s v="Johan Felipe Repizo Aguirre "/>
    <s v="Muy importante"/>
    <s v="A diario"/>
    <s v="Mayor tranquilidad y seguridad"/>
    <s v="Muy útil"/>
    <s v="Ver la ubicación del bus en tiempo real, Saber si el bus está retrasado, Historial de recorridos"/>
    <s v="Ambas"/>
    <s v="Esencial que sea extremadamente segura"/>
    <s v="Algunas veces"/>
    <s v="Ninguna "/>
    <x v="0"/>
  </r>
  <r>
    <d v="2025-06-11T06:43:37"/>
    <s v="Estudiante"/>
    <s v="Juan Esteban Cortes Parra "/>
    <s v="Fundamental"/>
    <s v="A diario"/>
    <s v="Mayor tranquilidad y seguridad, Mejor organización de tiempos al saber el momento exacto de llegada, Reducción de preocupación por retrasos o imprevistos"/>
    <s v="Muy útil"/>
    <s v="Ver la ubicación del bus en tiempo real, Comunicación directa con el conductor o acudiente, Historial de recorridos"/>
    <s v="Ambas"/>
    <s v="Esencial que sea extremadamente segura"/>
    <s v="Nunca"/>
    <s v="Pues solo que fuera que tenga buen rendimiento "/>
    <x v="0"/>
  </r>
  <r>
    <d v="2025-06-11T06:44:11"/>
    <s v="Estudiante"/>
    <s v="David Santiago Erez Rodriguez "/>
    <s v="Fundamental"/>
    <s v="Solo cuando el bus se retrase"/>
    <s v="Mayor tranquilidad y seguridad, Mejor organización de tiempos al saber el momento exacto de llegada, Reducción de preocupación por retrasos o imprevistos"/>
    <s v="Útil"/>
    <s v="Ver la ubicación del bus en tiempo real, Saber si el bus está retrasado"/>
    <s v="Aplicación móvil"/>
    <s v="Esencial que sea extremadamente segura"/>
    <s v="Nunca"/>
    <s v="Que tanga servicios especiales para las escuelas "/>
    <x v="2"/>
  </r>
  <r>
    <d v="2025-06-11T06:46:45"/>
    <s v="Estudiante"/>
    <s v="Jonattan Steven Rizo Solano"/>
    <s v="Moderadamente importante"/>
    <s v="A diario"/>
    <s v="Mayor tranquilidad y seguridad, Mejor organización de tiempos al saber el momento exacto de llegada"/>
    <s v="Útil"/>
    <s v="Ver la ubicación del bus en tiempo real, Saber si el bus está retrasado, Historial de recorridos"/>
    <s v="Aplicación móvil"/>
    <s v="Confiable"/>
    <s v="Sí"/>
    <s v="Por ahora ninguno"/>
    <x v="0"/>
  </r>
  <r>
    <d v="2025-06-11T06:48:24"/>
    <s v="Estudiante"/>
    <s v="Johan Sebastián Yucumá Molano "/>
    <s v="Fundamental"/>
    <s v="A diario"/>
    <s v="Mejor organización de tiempos al saber el momento exacto de llegada"/>
    <s v="Útil"/>
    <s v="Ver la ubicación del bus en tiempo real, Saber si el bus está retrasado, Historial de recorridos, Registro de rutas pasadas"/>
    <s v="Aplicación móvil"/>
    <s v="Esencial que sea extremadamente segura"/>
    <s v="Rara vez"/>
    <s v="Que aparte de rutas escolares también muestre los desastres naturales que probablemente interferirian con la ruta"/>
    <x v="1"/>
  </r>
  <r>
    <d v="2025-06-11T06:53:23"/>
    <s v="Estudiante"/>
    <s v="Justin Daniela Bahamon "/>
    <s v="Muy importante"/>
    <s v="A diario"/>
    <s v="Mayor tranquilidad y seguridad"/>
    <s v="Muy útil"/>
    <s v="Ver la ubicación del bus en tiempo real, Comunicación directa con el conductor o acudiente, Historial de recorridos"/>
    <s v="Aplicación móvil"/>
    <s v="Muy confiable"/>
    <s v="Nunca"/>
    <s v="Que te notifique si algo anda mal "/>
    <x v="2"/>
  </r>
  <r>
    <d v="2025-06-11T08:31:55"/>
    <s v="Estudiante"/>
    <s v="Yully Katherine Díaz Salas "/>
    <s v="Moderadamente importante"/>
    <s v="Solo cuando el bus se retrase"/>
    <s v="Mejor organización de tiempos al saber el momento exacto de llegada"/>
    <s v="Poco útil"/>
    <s v="Comunicación directa con el conductor o acudiente"/>
    <s v="Página web"/>
    <s v="Medianamente confiable"/>
    <s v="Algunas veces"/>
    <s v="No tengo sugerencias "/>
    <x v="0"/>
  </r>
  <r>
    <d v="2025-06-11T08:58:43"/>
    <s v="Estudiante"/>
    <s v="Willianni Godín Pérez "/>
    <s v="Muy importante"/>
    <s v="A diario"/>
    <s v="Mayor tranquilidad y seguridad, Reducción de preocupación por retrasos o imprevistos"/>
    <s v="Muy útil"/>
    <s v="Ver la ubicación del bus en tiempo real, Saber si el bus está retrasado, Comunicación directa con el conductor o acudiente"/>
    <s v="Aplicación móvil"/>
    <s v="Esencial que sea extremadamente segura"/>
    <s v="Nunca"/>
    <s v="Realizar una encuesta cada trimestre para los estudiantes y padres, y así poder saber cómo se sienten y qué sugerencias tienen"/>
    <x v="2"/>
  </r>
  <r>
    <d v="2025-06-11T09:07:24"/>
    <s v="Padre / Madre / Acudiente"/>
    <s v="Kelly Yohana Ramirez Morales "/>
    <s v="Fundamental"/>
    <s v="A diario"/>
    <s v="Mayor tranquilidad y seguridad, Mejor organización de tiempos al saber el momento exacto de llegada, Reducción de preocupación por retrasos o imprevistos"/>
    <s v="Muy útil"/>
    <s v="Ver la ubicación del bus en tiempo real, Saber si el bus está retrasado, Comunicación directa con el conductor o acudiente, Historial de recorridos, Registro de rutas pasadas, Integración con el calendario escolar"/>
    <s v="Ambas"/>
    <s v="Esencial que sea extremadamente segura"/>
    <s v="Sí"/>
    <s v="Ninguna "/>
    <x v="0"/>
  </r>
  <r>
    <d v="2025-06-11T09:07:36"/>
    <s v="Padre / Madre / Acudiente"/>
    <s v="Juan esteban rojas ibarra"/>
    <s v="Fundamental"/>
    <s v="A diario"/>
    <s v="Mayor tranquilidad y seguridad, Mejor organización de tiempos al saber el momento exacto de llegada"/>
    <s v="Muy útil"/>
    <s v="Ver la ubicación del bus en tiempo real"/>
    <s v="Ambas"/>
    <s v="Muy confiable"/>
    <s v="Algunas veces"/>
    <s v="Crear cuentas aparte de cada recorrido"/>
    <x v="1"/>
  </r>
  <r>
    <d v="2025-06-11T09:09:12"/>
    <s v="Padre / Madre / Acudiente"/>
    <s v="JUAN PABLO ROJAS"/>
    <s v="Fundamental"/>
    <s v="A diario"/>
    <s v="Mayor tranquilidad y seguridad, Mejor organización de tiempos al saber el momento exacto de llegada, Reducción de preocupación por retrasos o imprevistos"/>
    <s v="Muy útil"/>
    <s v="Ver la ubicación del bus en tiempo real, Saber si el bus está retrasado, Comunicación directa con el conductor o acudiente, Historial de recorridos, Integración con el calendario escolar"/>
    <s v="Ambas"/>
    <s v="Muy confiable"/>
    <s v="Sí"/>
    <s v="Que sea de fácil uso y la compatibilidad en móviles sea para Androide y Iphon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FE850-012F-4D59-B6AE-D73AC9B54ACA}" name="TablaDinámica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9">
  <location ref="A3:B5" firstHeaderRow="1" firstDataRow="1" firstDataCol="1"/>
  <pivotFields count="13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name="Cuenta de Tipo de encuestado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5E606-0342-472A-BD7E-572A15B38103}" name="TablaDinámica10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5">
  <location ref="A3:B8" firstHeaderRow="1" firstDataRow="1" firstDataCol="1"/>
  <pivotFields count="13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0"/>
        <item x="1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¿Qué tan importante considera la posibilidad de conocer en tiempo real la ubicación del transporte escolar? 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89C67-FB87-4D13-8FC6-6DA3712FF969}" name="TablaDinámica15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5">
  <location ref="A3:B6" firstHeaderRow="1" firstDataRow="1" firstDataCol="1"/>
  <pivotFields count="13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Cuenta de Si usted como padre pudiera ver en su celular la ubicación exacta del bus escolar en tiempo real, ¿con qué frecuencia lo consultaría?  " fld="4" subtotal="count" baseField="0" baseItem="0"/>
  </dataFields>
  <formats count="1">
    <format dxfId="2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237B3-8EB2-4F95-9779-43A0C4A0CADC}" name="TablaDinámica17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5">
  <location ref="A3:B7" firstHeaderRow="1" firstDataRow="1" firstDataCol="1"/>
  <pivotFields count="13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3"/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Suponga que la plataforma le notifica cuando su hijo sube o baja del bus. ¿Qué tan útil considera esta función?  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59829-0E01-4363-B597-9E49453736BD}" name="TablaDinámica24" cacheId="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5">
  <location ref="A3:B6" firstHeaderRow="1" firstDataRow="1" firstDataCol="1"/>
  <pivotFields count="13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3">
    <i>
      <x/>
    </i>
    <i>
      <x v="1"/>
    </i>
    <i>
      <x v="2"/>
    </i>
  </rowItems>
  <colItems count="1">
    <i/>
  </colItems>
  <dataFields count="1">
    <dataField name="Cuenta de ¿Desde dónde preferirías usar la plataforma? " fld="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38FB8D-8036-41C6-8880-82A089077EF9}" name="TablaDinámica29" cacheId="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5">
  <location ref="A3:B8" firstHeaderRow="1" firstDataRow="1" firstDataCol="1"/>
  <pivotFields count="13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0"/>
        <item x="3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¿Qué tan confiable y segura considera que debe ser esta plataforma respecto a la privacidad y protección de datos? " fld="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FBEF4-C086-4A16-A079-B0DB93412D17}" name="TablaDinámica34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5">
  <location ref="A3:B7" firstHeaderRow="1" firstDataRow="1" firstDataCol="1"/>
  <pivotFields count="13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1"/>
        <item x="3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¿Usas frecuentemente o utilizaste aplicaciones para la escuela, comunicación o transporte? " fld="1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A3434-0430-4351-804D-9876FFEDF037}" name="TablaDinámica41" cacheId="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9">
  <location ref="A3:B6" firstHeaderRow="1" firstDataRow="1" firstDataCol="1"/>
  <pivotFields count="13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2"/>
  </rowFields>
  <rowItems count="3">
    <i>
      <x/>
    </i>
    <i>
      <x v="1"/>
    </i>
    <i>
      <x v="2"/>
    </i>
  </rowItems>
  <colItems count="1">
    <i/>
  </colItems>
  <dataFields count="1">
    <dataField name="Cuenta de   ¿Te gustaría ser parte de una prueba piloto del sistema?  " fld="1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M33" totalsRowCount="1" headerRowDxfId="29" dataDxfId="28" totalsRowDxfId="0">
  <tableColumns count="13">
    <tableColumn id="1" xr3:uid="{00000000-0010-0000-0000-000001000000}" name="Marca temporal" dataDxfId="26" totalsRowDxfId="13"/>
    <tableColumn id="2" xr3:uid="{00000000-0010-0000-0000-000002000000}" name="Tipo de encuestado" totalsRowFunction="custom" dataDxfId="25" totalsRowDxfId="12">
      <totalsRowFormula>"Estudiante: "&amp;COUNTIF(B2:B31,"Estudiante")&amp;" || "&amp;TEXT(COUNTIF(B2:B31,"Estudiante")/COUNTA(B2:B31),"0%")</totalsRowFormula>
    </tableColumn>
    <tableColumn id="3" xr3:uid="{00000000-0010-0000-0000-000003000000}" name="Nombre completo" dataDxfId="24" totalsRowDxfId="11"/>
    <tableColumn id="4" xr3:uid="{00000000-0010-0000-0000-000004000000}" name="¿Qué tan importante considera la posibilidad de conocer en tiempo real la ubicación del transporte escolar? " totalsRowFunction="custom" dataDxfId="23" totalsRowDxfId="10">
      <totalsRowFormula>"Fundamental: "&amp;COUNTIF(D2:D31,"Fundamental")&amp;" || "&amp;TEXT(COUNTIF(D2:D31,"Fundamental")/COUNTA(D2:D31),"0%")</totalsRowFormula>
    </tableColumn>
    <tableColumn id="5" xr3:uid="{00000000-0010-0000-0000-000005000000}" name="Si usted como padre pudiera ver en su celular la ubicación exacta del bus escolar en tiempo real, ¿con qué frecuencia lo consultaría?  " totalsRowFunction="custom" dataDxfId="22" totalsRowDxfId="9">
      <totalsRowFormula>"A diario: "&amp;COUNTIF(E2:E31,"A diario")&amp;" || "&amp;TEXT(COUNTIF(E2:E31,"A diario")/COUNTA(E2:E31),"0%")</totalsRowFormula>
    </tableColumn>
    <tableColumn id="6" xr3:uid="{00000000-0010-0000-0000-000006000000}" name="¿Cuáles beneficios cree que aportaría Guardian Escolar para usted y su familia? (Puede seleccionar más de una opción)  " totalsRowFunction="custom" dataDxfId="21" totalsRowDxfId="8">
      <totalsRowFormula xml:space="preserve"> "Mayor tranquilidad y seguridad: " &amp;COUNTIF(F2:F31,"*Mayor tranquilidad y seguridad*") &amp; " || " &amp; TEXT(COUNTIF(F2:F31,"*Mayor tranquilidad y seguridad*")/COUNTA(F2:F31),"0%")</totalsRowFormula>
    </tableColumn>
    <tableColumn id="7" xr3:uid="{00000000-0010-0000-0000-000007000000}" name="Suponga que la plataforma le notifica cuando su hijo sube o baja del bus. ¿Qué tan útil considera esta función?  " totalsRowFunction="custom" dataDxfId="20" totalsRowDxfId="7">
      <totalsRowFormula>"Muy útil: "&amp;COUNTIF(G2:G31,"Muy útil")&amp;" || "&amp;TEXT(COUNTIF(G2:G31,"Muy útil")/COUNTA(G2:G31),"0%")</totalsRowFormula>
    </tableColumn>
    <tableColumn id="8" xr3:uid="{00000000-0010-0000-0000-000008000000}" name="¿Qué funciones te parecen útiles en una plataforma de este tipo? (marca las que consideres importantes) " totalsRowFunction="custom" dataDxfId="19" totalsRowDxfId="6">
      <totalsRowFormula xml:space="preserve"> "Ver la ubicación del bus en tiempo real: " &amp;COUNTIF(H2:H31,"*Ver la ubicación del bus en tiempo real*") &amp; " || " &amp; TEXT(COUNTIF(H2:H31,"*Ver la ubicación del bus en tiempo real*")/COUNTA(H2:H31),"0%")</totalsRowFormula>
    </tableColumn>
    <tableColumn id="9" xr3:uid="{00000000-0010-0000-0000-000009000000}" name="¿Desde dónde preferirías usar la plataforma? " totalsRowFunction="custom" dataDxfId="18" totalsRowDxfId="5">
      <totalsRowFormula>"Aplicación móvil: "&amp;COUNTIF(I2:I31,"Aplicación móvil")&amp;" || "&amp;TEXT(COUNTIF(I2:I31,"Aplicación móvil")/COUNTA(I2:I31),"0%")</totalsRowFormula>
    </tableColumn>
    <tableColumn id="10" xr3:uid="{00000000-0010-0000-0000-00000A000000}" name="¿Qué tan confiable y segura considera que debe ser esta plataforma respecto a la privacidad y protección de datos? " totalsRowFunction="custom" dataDxfId="17" totalsRowDxfId="4">
      <totalsRowFormula>"Poco confiable: "&amp;COUNTIF(J2:J31,"Poco confiable")&amp;" || "&amp;TEXT(COUNTIF(J2:J31,"Poco confiable")/COUNTA(J2:J31),"0%")</totalsRowFormula>
    </tableColumn>
    <tableColumn id="11" xr3:uid="{00000000-0010-0000-0000-00000B000000}" name="¿Usas frecuentemente o utilizaste aplicaciones para la escuela, comunicación o transporte? " totalsRowFunction="custom" dataDxfId="16" totalsRowDxfId="3">
      <totalsRowFormula>"Sí: "&amp;COUNTIF(K2:K31,"Sí")&amp;" || "&amp;TEXT(COUNTIF(K2:K31,"Sí")/COUNTA(K2:K31),"0%")</totalsRowFormula>
    </tableColumn>
    <tableColumn id="12" xr3:uid="{00000000-0010-0000-0000-00000C000000}" name="¿Qué sugerencias o ideas aportarías para mejorar este proyecto?  " dataDxfId="15" totalsRowDxfId="2"/>
    <tableColumn id="13" xr3:uid="{00000000-0010-0000-0000-00000D000000}" name="  ¿Te gustaría ser parte de una prueba piloto del sistema?  " totalsRowFunction="custom" dataDxfId="14" totalsRowDxfId="1">
      <totalsRowFormula>"Sí: "&amp;COUNTIF(M2:M31,"Sí")&amp;" || "&amp;TEXT(COUNTIF(M2:M31,"Sí")/COUNTA(M2:M31),"0%")</totalsRowFormula>
    </tableColumn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5"/>
  <sheetViews>
    <sheetView tabSelected="1" topLeftCell="V1" zoomScaleNormal="100" workbookViewId="0">
      <pane ySplit="1" topLeftCell="A11" activePane="bottomLeft" state="frozen"/>
      <selection pane="bottomLeft" activeCell="D38" sqref="D38"/>
    </sheetView>
  </sheetViews>
  <sheetFormatPr baseColWidth="10" defaultColWidth="12.7109375" defaultRowHeight="15.75" customHeight="1" x14ac:dyDescent="0.2"/>
  <cols>
    <col min="1" max="1" width="20.7109375" customWidth="1"/>
    <col min="2" max="2" width="31" bestFit="1" customWidth="1"/>
    <col min="3" max="3" width="29.7109375" bestFit="1" customWidth="1"/>
    <col min="4" max="4" width="92.42578125" bestFit="1" customWidth="1"/>
    <col min="5" max="5" width="115.140625" bestFit="1" customWidth="1"/>
    <col min="6" max="6" width="134.5703125" bestFit="1" customWidth="1"/>
    <col min="7" max="7" width="96.140625" bestFit="1" customWidth="1"/>
    <col min="8" max="8" width="66" customWidth="1"/>
    <col min="9" max="9" width="39.5703125" bestFit="1" customWidth="1"/>
    <col min="10" max="10" width="100.85546875" bestFit="1" customWidth="1"/>
    <col min="11" max="11" width="80.5703125" bestFit="1" customWidth="1"/>
    <col min="12" max="12" width="111.7109375" bestFit="1" customWidth="1"/>
    <col min="13" max="13" width="51.42578125" bestFit="1" customWidth="1"/>
    <col min="14" max="19" width="18.85546875" customWidth="1"/>
  </cols>
  <sheetData>
    <row r="1" spans="1:13" ht="15.75" customHeight="1" x14ac:dyDescent="0.2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1" t="s">
        <v>12</v>
      </c>
    </row>
    <row r="2" spans="1:13" ht="15.75" customHeight="1" x14ac:dyDescent="0.2">
      <c r="A2" s="20">
        <v>45817.307582650465</v>
      </c>
      <c r="B2" s="21" t="s">
        <v>13</v>
      </c>
      <c r="C2" s="21" t="s">
        <v>14</v>
      </c>
      <c r="D2" s="21" t="s">
        <v>15</v>
      </c>
      <c r="E2" s="21" t="s">
        <v>16</v>
      </c>
      <c r="F2" s="21" t="s">
        <v>17</v>
      </c>
      <c r="G2" s="21" t="s">
        <v>18</v>
      </c>
      <c r="H2" s="21" t="s">
        <v>19</v>
      </c>
      <c r="I2" s="21" t="s">
        <v>20</v>
      </c>
      <c r="J2" s="21" t="s">
        <v>21</v>
      </c>
      <c r="K2" s="21" t="s">
        <v>22</v>
      </c>
      <c r="L2" s="21" t="s">
        <v>23</v>
      </c>
      <c r="M2" s="22" t="s">
        <v>22</v>
      </c>
    </row>
    <row r="3" spans="1:13" ht="15.75" customHeight="1" x14ac:dyDescent="0.2">
      <c r="A3" s="23">
        <v>45817.307941840278</v>
      </c>
      <c r="B3" s="24" t="s">
        <v>13</v>
      </c>
      <c r="C3" s="24" t="s">
        <v>25</v>
      </c>
      <c r="D3" s="24" t="s">
        <v>15</v>
      </c>
      <c r="E3" s="24" t="s">
        <v>26</v>
      </c>
      <c r="F3" s="24" t="s">
        <v>17</v>
      </c>
      <c r="G3" s="24" t="s">
        <v>27</v>
      </c>
      <c r="H3" s="24" t="s">
        <v>28</v>
      </c>
      <c r="I3" s="24" t="s">
        <v>20</v>
      </c>
      <c r="J3" s="24" t="s">
        <v>29</v>
      </c>
      <c r="K3" s="24" t="s">
        <v>30</v>
      </c>
      <c r="L3" s="24" t="s">
        <v>31</v>
      </c>
      <c r="M3" s="25" t="s">
        <v>22</v>
      </c>
    </row>
    <row r="4" spans="1:13" ht="15.75" customHeight="1" x14ac:dyDescent="0.2">
      <c r="A4" s="20">
        <v>45817.308467546296</v>
      </c>
      <c r="B4" s="21" t="s">
        <v>13</v>
      </c>
      <c r="C4" s="21" t="s">
        <v>32</v>
      </c>
      <c r="D4" s="21" t="s">
        <v>33</v>
      </c>
      <c r="E4" s="21" t="s">
        <v>26</v>
      </c>
      <c r="F4" s="21" t="s">
        <v>34</v>
      </c>
      <c r="G4" s="21" t="s">
        <v>18</v>
      </c>
      <c r="H4" s="21" t="s">
        <v>35</v>
      </c>
      <c r="I4" s="21" t="s">
        <v>20</v>
      </c>
      <c r="J4" s="21" t="s">
        <v>21</v>
      </c>
      <c r="K4" s="21" t="s">
        <v>36</v>
      </c>
      <c r="L4" s="21" t="s">
        <v>37</v>
      </c>
      <c r="M4" s="22" t="s">
        <v>22</v>
      </c>
    </row>
    <row r="5" spans="1:13" ht="15.75" customHeight="1" x14ac:dyDescent="0.2">
      <c r="A5" s="23">
        <v>45817.308538379628</v>
      </c>
      <c r="B5" s="24" t="s">
        <v>13</v>
      </c>
      <c r="C5" s="24" t="s">
        <v>38</v>
      </c>
      <c r="D5" s="24" t="s">
        <v>15</v>
      </c>
      <c r="E5" s="24" t="s">
        <v>26</v>
      </c>
      <c r="F5" s="24" t="s">
        <v>39</v>
      </c>
      <c r="G5" s="24" t="s">
        <v>27</v>
      </c>
      <c r="H5" s="24" t="s">
        <v>40</v>
      </c>
      <c r="I5" s="24" t="s">
        <v>41</v>
      </c>
      <c r="J5" s="24" t="s">
        <v>21</v>
      </c>
      <c r="K5" s="24" t="s">
        <v>42</v>
      </c>
      <c r="L5" s="24" t="s">
        <v>43</v>
      </c>
      <c r="M5" s="25" t="s">
        <v>44</v>
      </c>
    </row>
    <row r="6" spans="1:13" ht="15.75" customHeight="1" x14ac:dyDescent="0.2">
      <c r="A6" s="20">
        <v>45817.309165474537</v>
      </c>
      <c r="B6" s="21" t="s">
        <v>13</v>
      </c>
      <c r="C6" s="21" t="s">
        <v>45</v>
      </c>
      <c r="D6" s="21" t="s">
        <v>33</v>
      </c>
      <c r="E6" s="21" t="s">
        <v>16</v>
      </c>
      <c r="F6" s="21" t="s">
        <v>17</v>
      </c>
      <c r="G6" s="21" t="s">
        <v>18</v>
      </c>
      <c r="H6" s="21" t="s">
        <v>28</v>
      </c>
      <c r="I6" s="21" t="s">
        <v>41</v>
      </c>
      <c r="J6" s="21" t="s">
        <v>46</v>
      </c>
      <c r="K6" s="21" t="s">
        <v>30</v>
      </c>
      <c r="L6" s="21" t="s">
        <v>47</v>
      </c>
      <c r="M6" s="22" t="s">
        <v>22</v>
      </c>
    </row>
    <row r="7" spans="1:13" ht="15.75" customHeight="1" x14ac:dyDescent="0.2">
      <c r="A7" s="23">
        <v>45817.309317303239</v>
      </c>
      <c r="B7" s="24" t="s">
        <v>13</v>
      </c>
      <c r="C7" s="24" t="s">
        <v>48</v>
      </c>
      <c r="D7" s="24" t="s">
        <v>15</v>
      </c>
      <c r="E7" s="24" t="s">
        <v>26</v>
      </c>
      <c r="F7" s="24" t="s">
        <v>49</v>
      </c>
      <c r="G7" s="24" t="s">
        <v>50</v>
      </c>
      <c r="H7" s="24" t="s">
        <v>51</v>
      </c>
      <c r="I7" s="24" t="s">
        <v>41</v>
      </c>
      <c r="J7" s="24" t="s">
        <v>52</v>
      </c>
      <c r="K7" s="24" t="s">
        <v>22</v>
      </c>
      <c r="L7" s="24" t="s">
        <v>53</v>
      </c>
      <c r="M7" s="25" t="s">
        <v>22</v>
      </c>
    </row>
    <row r="8" spans="1:13" ht="15.75" customHeight="1" x14ac:dyDescent="0.2">
      <c r="A8" s="20">
        <v>45817.309932256947</v>
      </c>
      <c r="B8" s="21" t="s">
        <v>13</v>
      </c>
      <c r="C8" s="21" t="s">
        <v>54</v>
      </c>
      <c r="D8" s="21" t="s">
        <v>55</v>
      </c>
      <c r="E8" s="21" t="s">
        <v>26</v>
      </c>
      <c r="F8" s="21" t="s">
        <v>56</v>
      </c>
      <c r="G8" s="21" t="s">
        <v>50</v>
      </c>
      <c r="H8" s="21" t="s">
        <v>57</v>
      </c>
      <c r="I8" s="21" t="s">
        <v>41</v>
      </c>
      <c r="J8" s="21" t="s">
        <v>29</v>
      </c>
      <c r="K8" s="21" t="s">
        <v>30</v>
      </c>
      <c r="L8" s="21" t="s">
        <v>58</v>
      </c>
      <c r="M8" s="22" t="s">
        <v>44</v>
      </c>
    </row>
    <row r="9" spans="1:13" ht="15.75" customHeight="1" x14ac:dyDescent="0.2">
      <c r="A9" s="23">
        <v>45817.310010428242</v>
      </c>
      <c r="B9" s="24" t="s">
        <v>13</v>
      </c>
      <c r="C9" s="24" t="s">
        <v>59</v>
      </c>
      <c r="D9" s="24" t="s">
        <v>15</v>
      </c>
      <c r="E9" s="24" t="s">
        <v>16</v>
      </c>
      <c r="F9" s="24" t="s">
        <v>17</v>
      </c>
      <c r="G9" s="24" t="s">
        <v>27</v>
      </c>
      <c r="H9" s="24" t="s">
        <v>60</v>
      </c>
      <c r="I9" s="24" t="s">
        <v>20</v>
      </c>
      <c r="J9" s="24" t="s">
        <v>29</v>
      </c>
      <c r="K9" s="24" t="s">
        <v>30</v>
      </c>
      <c r="L9" s="24" t="s">
        <v>61</v>
      </c>
      <c r="M9" s="25" t="s">
        <v>44</v>
      </c>
    </row>
    <row r="10" spans="1:13" ht="15.75" customHeight="1" x14ac:dyDescent="0.2">
      <c r="A10" s="20">
        <v>45817.311706527777</v>
      </c>
      <c r="B10" s="21" t="s">
        <v>13</v>
      </c>
      <c r="C10" s="21" t="s">
        <v>62</v>
      </c>
      <c r="D10" s="21" t="s">
        <v>63</v>
      </c>
      <c r="E10" s="21" t="s">
        <v>16</v>
      </c>
      <c r="F10" s="21" t="s">
        <v>17</v>
      </c>
      <c r="G10" s="21" t="s">
        <v>18</v>
      </c>
      <c r="H10" s="21" t="s">
        <v>64</v>
      </c>
      <c r="I10" s="21" t="s">
        <v>20</v>
      </c>
      <c r="J10" s="21" t="s">
        <v>29</v>
      </c>
      <c r="K10" s="21" t="s">
        <v>30</v>
      </c>
      <c r="L10" s="21" t="s">
        <v>65</v>
      </c>
      <c r="M10" s="22" t="s">
        <v>44</v>
      </c>
    </row>
    <row r="11" spans="1:13" ht="15.75" customHeight="1" x14ac:dyDescent="0.2">
      <c r="A11" s="23">
        <v>45817.319061597227</v>
      </c>
      <c r="B11" s="24" t="s">
        <v>13</v>
      </c>
      <c r="C11" s="24" t="s">
        <v>66</v>
      </c>
      <c r="D11" s="24" t="s">
        <v>15</v>
      </c>
      <c r="E11" s="24" t="s">
        <v>26</v>
      </c>
      <c r="F11" s="24" t="s">
        <v>39</v>
      </c>
      <c r="G11" s="24" t="s">
        <v>27</v>
      </c>
      <c r="H11" s="24" t="s">
        <v>67</v>
      </c>
      <c r="I11" s="24" t="s">
        <v>68</v>
      </c>
      <c r="J11" s="24" t="s">
        <v>69</v>
      </c>
      <c r="K11" s="24" t="s">
        <v>22</v>
      </c>
      <c r="L11" s="24" t="s">
        <v>70</v>
      </c>
      <c r="M11" s="25" t="s">
        <v>71</v>
      </c>
    </row>
    <row r="12" spans="1:13" ht="15.75" customHeight="1" x14ac:dyDescent="0.2">
      <c r="A12" s="20">
        <v>45817.575109050929</v>
      </c>
      <c r="B12" s="21" t="s">
        <v>13</v>
      </c>
      <c r="C12" s="21" t="s">
        <v>72</v>
      </c>
      <c r="D12" s="21" t="s">
        <v>15</v>
      </c>
      <c r="E12" s="21" t="s">
        <v>26</v>
      </c>
      <c r="F12" s="21" t="s">
        <v>34</v>
      </c>
      <c r="G12" s="21" t="s">
        <v>27</v>
      </c>
      <c r="H12" s="21" t="s">
        <v>73</v>
      </c>
      <c r="I12" s="21" t="s">
        <v>20</v>
      </c>
      <c r="J12" s="21" t="s">
        <v>46</v>
      </c>
      <c r="K12" s="21" t="s">
        <v>36</v>
      </c>
      <c r="L12" s="21" t="s">
        <v>74</v>
      </c>
      <c r="M12" s="22" t="s">
        <v>44</v>
      </c>
    </row>
    <row r="13" spans="1:13" ht="15.75" customHeight="1" x14ac:dyDescent="0.2">
      <c r="A13" s="23">
        <v>45817.598026527776</v>
      </c>
      <c r="B13" s="24" t="s">
        <v>13</v>
      </c>
      <c r="C13" s="24" t="s">
        <v>75</v>
      </c>
      <c r="D13" s="24" t="s">
        <v>33</v>
      </c>
      <c r="E13" s="24" t="s">
        <v>16</v>
      </c>
      <c r="F13" s="24" t="s">
        <v>56</v>
      </c>
      <c r="G13" s="24" t="s">
        <v>27</v>
      </c>
      <c r="H13" s="24" t="s">
        <v>76</v>
      </c>
      <c r="I13" s="24" t="s">
        <v>20</v>
      </c>
      <c r="J13" s="24" t="s">
        <v>21</v>
      </c>
      <c r="K13" s="24" t="s">
        <v>30</v>
      </c>
      <c r="L13" s="24" t="s">
        <v>77</v>
      </c>
      <c r="M13" s="25" t="s">
        <v>44</v>
      </c>
    </row>
    <row r="14" spans="1:13" ht="15.75" customHeight="1" x14ac:dyDescent="0.2">
      <c r="A14" s="20">
        <v>45817.613808877315</v>
      </c>
      <c r="B14" s="21" t="s">
        <v>13</v>
      </c>
      <c r="C14" s="21" t="s">
        <v>78</v>
      </c>
      <c r="D14" s="21" t="s">
        <v>15</v>
      </c>
      <c r="E14" s="21" t="s">
        <v>16</v>
      </c>
      <c r="F14" s="21" t="s">
        <v>34</v>
      </c>
      <c r="G14" s="21" t="s">
        <v>27</v>
      </c>
      <c r="H14" s="21" t="s">
        <v>79</v>
      </c>
      <c r="I14" s="21" t="s">
        <v>20</v>
      </c>
      <c r="J14" s="21" t="s">
        <v>21</v>
      </c>
      <c r="K14" s="21" t="s">
        <v>42</v>
      </c>
      <c r="L14" s="21" t="s">
        <v>80</v>
      </c>
      <c r="M14" s="22" t="s">
        <v>44</v>
      </c>
    </row>
    <row r="15" spans="1:13" ht="15.75" customHeight="1" x14ac:dyDescent="0.2">
      <c r="A15" s="23">
        <v>45819.273515023146</v>
      </c>
      <c r="B15" s="24" t="s">
        <v>13</v>
      </c>
      <c r="C15" s="24" t="s">
        <v>81</v>
      </c>
      <c r="D15" s="24" t="s">
        <v>82</v>
      </c>
      <c r="E15" s="24" t="s">
        <v>36</v>
      </c>
      <c r="F15" s="24" t="s">
        <v>34</v>
      </c>
      <c r="G15" s="24" t="s">
        <v>27</v>
      </c>
      <c r="H15" s="24" t="s">
        <v>19</v>
      </c>
      <c r="I15" s="24" t="s">
        <v>41</v>
      </c>
      <c r="J15" s="24" t="s">
        <v>52</v>
      </c>
      <c r="K15" s="24" t="s">
        <v>22</v>
      </c>
      <c r="L15" s="24" t="s">
        <v>83</v>
      </c>
      <c r="M15" s="25" t="s">
        <v>22</v>
      </c>
    </row>
    <row r="16" spans="1:13" ht="15.75" customHeight="1" x14ac:dyDescent="0.2">
      <c r="A16" s="20">
        <v>45819.274372071755</v>
      </c>
      <c r="B16" s="21" t="s">
        <v>13</v>
      </c>
      <c r="C16" s="21" t="s">
        <v>84</v>
      </c>
      <c r="D16" s="21" t="s">
        <v>33</v>
      </c>
      <c r="E16" s="21" t="s">
        <v>26</v>
      </c>
      <c r="F16" s="21" t="s">
        <v>17</v>
      </c>
      <c r="G16" s="21" t="s">
        <v>18</v>
      </c>
      <c r="H16" s="21" t="s">
        <v>85</v>
      </c>
      <c r="I16" s="21" t="s">
        <v>20</v>
      </c>
      <c r="J16" s="21" t="s">
        <v>52</v>
      </c>
      <c r="K16" s="21" t="s">
        <v>22</v>
      </c>
      <c r="L16" s="21" t="s">
        <v>86</v>
      </c>
      <c r="M16" s="22" t="s">
        <v>22</v>
      </c>
    </row>
    <row r="17" spans="1:13" ht="15.75" customHeight="1" x14ac:dyDescent="0.2">
      <c r="A17" s="23">
        <v>45819.274738796295</v>
      </c>
      <c r="B17" s="24" t="s">
        <v>13</v>
      </c>
      <c r="C17" s="24" t="s">
        <v>87</v>
      </c>
      <c r="D17" s="24" t="s">
        <v>55</v>
      </c>
      <c r="E17" s="24" t="s">
        <v>36</v>
      </c>
      <c r="F17" s="24" t="s">
        <v>56</v>
      </c>
      <c r="G17" s="24" t="s">
        <v>88</v>
      </c>
      <c r="H17" s="24" t="s">
        <v>89</v>
      </c>
      <c r="I17" s="24" t="s">
        <v>20</v>
      </c>
      <c r="J17" s="24" t="s">
        <v>46</v>
      </c>
      <c r="K17" s="24" t="s">
        <v>42</v>
      </c>
      <c r="L17" s="24" t="s">
        <v>90</v>
      </c>
      <c r="M17" s="25" t="s">
        <v>44</v>
      </c>
    </row>
    <row r="18" spans="1:13" ht="15.75" customHeight="1" x14ac:dyDescent="0.2">
      <c r="A18" s="20">
        <v>45819.274877129632</v>
      </c>
      <c r="B18" s="21" t="s">
        <v>13</v>
      </c>
      <c r="C18" s="21" t="s">
        <v>91</v>
      </c>
      <c r="D18" s="21" t="s">
        <v>63</v>
      </c>
      <c r="E18" s="21" t="s">
        <v>26</v>
      </c>
      <c r="F18" s="21" t="s">
        <v>49</v>
      </c>
      <c r="G18" s="21" t="s">
        <v>18</v>
      </c>
      <c r="H18" s="21" t="s">
        <v>92</v>
      </c>
      <c r="I18" s="21" t="s">
        <v>20</v>
      </c>
      <c r="J18" s="21" t="s">
        <v>46</v>
      </c>
      <c r="K18" s="21" t="s">
        <v>30</v>
      </c>
      <c r="L18" s="21" t="s">
        <v>93</v>
      </c>
      <c r="M18" s="22" t="s">
        <v>22</v>
      </c>
    </row>
    <row r="19" spans="1:13" ht="15.75" customHeight="1" x14ac:dyDescent="0.2">
      <c r="A19" s="23">
        <v>45819.274903831014</v>
      </c>
      <c r="B19" s="24" t="s">
        <v>13</v>
      </c>
      <c r="C19" s="24" t="s">
        <v>94</v>
      </c>
      <c r="D19" s="24" t="s">
        <v>33</v>
      </c>
      <c r="E19" s="24" t="s">
        <v>26</v>
      </c>
      <c r="F19" s="24" t="s">
        <v>49</v>
      </c>
      <c r="G19" s="24" t="s">
        <v>18</v>
      </c>
      <c r="H19" s="24" t="s">
        <v>95</v>
      </c>
      <c r="I19" s="24" t="s">
        <v>41</v>
      </c>
      <c r="J19" s="24" t="s">
        <v>46</v>
      </c>
      <c r="K19" s="24" t="s">
        <v>30</v>
      </c>
      <c r="L19" s="24" t="s">
        <v>96</v>
      </c>
      <c r="M19" s="25" t="s">
        <v>22</v>
      </c>
    </row>
    <row r="20" spans="1:13" ht="15.75" customHeight="1" x14ac:dyDescent="0.2">
      <c r="A20" s="20">
        <v>45819.276507395829</v>
      </c>
      <c r="B20" s="21" t="s">
        <v>13</v>
      </c>
      <c r="C20" s="21" t="s">
        <v>97</v>
      </c>
      <c r="D20" s="21" t="s">
        <v>15</v>
      </c>
      <c r="E20" s="21" t="s">
        <v>26</v>
      </c>
      <c r="F20" s="21" t="s">
        <v>34</v>
      </c>
      <c r="G20" s="21" t="s">
        <v>27</v>
      </c>
      <c r="H20" s="21" t="s">
        <v>98</v>
      </c>
      <c r="I20" s="21" t="s">
        <v>20</v>
      </c>
      <c r="J20" s="21" t="s">
        <v>69</v>
      </c>
      <c r="K20" s="21" t="s">
        <v>36</v>
      </c>
      <c r="L20" s="21" t="s">
        <v>99</v>
      </c>
      <c r="M20" s="22" t="s">
        <v>22</v>
      </c>
    </row>
    <row r="21" spans="1:13" ht="15.75" customHeight="1" x14ac:dyDescent="0.2">
      <c r="A21" s="23">
        <v>45819.27932898148</v>
      </c>
      <c r="B21" s="24" t="s">
        <v>13</v>
      </c>
      <c r="C21" s="24" t="s">
        <v>100</v>
      </c>
      <c r="D21" s="24" t="s">
        <v>33</v>
      </c>
      <c r="E21" s="24" t="s">
        <v>16</v>
      </c>
      <c r="F21" s="24" t="s">
        <v>17</v>
      </c>
      <c r="G21" s="24" t="s">
        <v>18</v>
      </c>
      <c r="H21" s="24" t="s">
        <v>101</v>
      </c>
      <c r="I21" s="24" t="s">
        <v>41</v>
      </c>
      <c r="J21" s="24" t="s">
        <v>21</v>
      </c>
      <c r="K21" s="24" t="s">
        <v>30</v>
      </c>
      <c r="L21" s="24" t="s">
        <v>58</v>
      </c>
      <c r="M21" s="25" t="s">
        <v>22</v>
      </c>
    </row>
    <row r="22" spans="1:13" ht="15.75" customHeight="1" x14ac:dyDescent="0.2">
      <c r="A22" s="20">
        <v>45819.280285474539</v>
      </c>
      <c r="B22" s="21" t="s">
        <v>13</v>
      </c>
      <c r="C22" s="21" t="s">
        <v>102</v>
      </c>
      <c r="D22" s="21" t="s">
        <v>63</v>
      </c>
      <c r="E22" s="21" t="s">
        <v>16</v>
      </c>
      <c r="F22" s="21" t="s">
        <v>34</v>
      </c>
      <c r="G22" s="21" t="s">
        <v>18</v>
      </c>
      <c r="H22" s="21" t="s">
        <v>60</v>
      </c>
      <c r="I22" s="21" t="s">
        <v>41</v>
      </c>
      <c r="J22" s="21" t="s">
        <v>21</v>
      </c>
      <c r="K22" s="21" t="s">
        <v>42</v>
      </c>
      <c r="L22" s="21" t="s">
        <v>103</v>
      </c>
      <c r="M22" s="22" t="s">
        <v>22</v>
      </c>
    </row>
    <row r="23" spans="1:13" ht="15.75" customHeight="1" x14ac:dyDescent="0.2">
      <c r="A23" s="23">
        <v>45819.280682743054</v>
      </c>
      <c r="B23" s="24" t="s">
        <v>13</v>
      </c>
      <c r="C23" s="24" t="s">
        <v>104</v>
      </c>
      <c r="D23" s="24" t="s">
        <v>63</v>
      </c>
      <c r="E23" s="24" t="s">
        <v>26</v>
      </c>
      <c r="F23" s="24" t="s">
        <v>34</v>
      </c>
      <c r="G23" s="24" t="s">
        <v>27</v>
      </c>
      <c r="H23" s="24" t="s">
        <v>105</v>
      </c>
      <c r="I23" s="24" t="s">
        <v>20</v>
      </c>
      <c r="J23" s="24" t="s">
        <v>21</v>
      </c>
      <c r="K23" s="24" t="s">
        <v>42</v>
      </c>
      <c r="L23" s="24" t="s">
        <v>106</v>
      </c>
      <c r="M23" s="25" t="s">
        <v>71</v>
      </c>
    </row>
    <row r="24" spans="1:13" ht="15.75" customHeight="1" x14ac:dyDescent="0.2">
      <c r="A24" s="20">
        <v>45819.28246195602</v>
      </c>
      <c r="B24" s="21" t="s">
        <v>13</v>
      </c>
      <c r="C24" s="21" t="s">
        <v>107</v>
      </c>
      <c r="D24" s="21" t="s">
        <v>15</v>
      </c>
      <c r="E24" s="21" t="s">
        <v>16</v>
      </c>
      <c r="F24" s="21" t="s">
        <v>49</v>
      </c>
      <c r="G24" s="21" t="s">
        <v>27</v>
      </c>
      <c r="H24" s="21" t="s">
        <v>101</v>
      </c>
      <c r="I24" s="21" t="s">
        <v>20</v>
      </c>
      <c r="J24" s="21" t="s">
        <v>46</v>
      </c>
      <c r="K24" s="21" t="s">
        <v>22</v>
      </c>
      <c r="L24" s="21" t="s">
        <v>108</v>
      </c>
      <c r="M24" s="22" t="s">
        <v>22</v>
      </c>
    </row>
    <row r="25" spans="1:13" ht="15.75" customHeight="1" x14ac:dyDescent="0.2">
      <c r="A25" s="23">
        <v>45819.283608807869</v>
      </c>
      <c r="B25" s="24" t="s">
        <v>13</v>
      </c>
      <c r="C25" s="24" t="s">
        <v>109</v>
      </c>
      <c r="D25" s="24" t="s">
        <v>63</v>
      </c>
      <c r="E25" s="24" t="s">
        <v>16</v>
      </c>
      <c r="F25" s="24" t="s">
        <v>110</v>
      </c>
      <c r="G25" s="24" t="s">
        <v>27</v>
      </c>
      <c r="H25" s="24" t="s">
        <v>28</v>
      </c>
      <c r="I25" s="24" t="s">
        <v>20</v>
      </c>
      <c r="J25" s="24" t="s">
        <v>21</v>
      </c>
      <c r="K25" s="24" t="s">
        <v>36</v>
      </c>
      <c r="L25" s="24" t="s">
        <v>111</v>
      </c>
      <c r="M25" s="25" t="s">
        <v>44</v>
      </c>
    </row>
    <row r="26" spans="1:13" ht="15.75" customHeight="1" x14ac:dyDescent="0.2">
      <c r="A26" s="20">
        <v>45819.287076296299</v>
      </c>
      <c r="B26" s="21" t="s">
        <v>13</v>
      </c>
      <c r="C26" s="21" t="s">
        <v>112</v>
      </c>
      <c r="D26" s="21" t="s">
        <v>33</v>
      </c>
      <c r="E26" s="21" t="s">
        <v>16</v>
      </c>
      <c r="F26" s="21" t="s">
        <v>17</v>
      </c>
      <c r="G26" s="21" t="s">
        <v>18</v>
      </c>
      <c r="H26" s="21" t="s">
        <v>60</v>
      </c>
      <c r="I26" s="21" t="s">
        <v>20</v>
      </c>
      <c r="J26" s="21" t="s">
        <v>29</v>
      </c>
      <c r="K26" s="21" t="s">
        <v>42</v>
      </c>
      <c r="L26" s="21" t="s">
        <v>113</v>
      </c>
      <c r="M26" s="22" t="s">
        <v>71</v>
      </c>
    </row>
    <row r="27" spans="1:13" ht="15.75" customHeight="1" x14ac:dyDescent="0.2">
      <c r="A27" s="23">
        <v>45819.355498703706</v>
      </c>
      <c r="B27" s="24" t="s">
        <v>13</v>
      </c>
      <c r="C27" s="24" t="s">
        <v>114</v>
      </c>
      <c r="D27" s="24" t="s">
        <v>15</v>
      </c>
      <c r="E27" s="24" t="s">
        <v>26</v>
      </c>
      <c r="F27" s="24" t="s">
        <v>110</v>
      </c>
      <c r="G27" s="24" t="s">
        <v>50</v>
      </c>
      <c r="H27" s="24" t="s">
        <v>115</v>
      </c>
      <c r="I27" s="24" t="s">
        <v>68</v>
      </c>
      <c r="J27" s="24" t="s">
        <v>52</v>
      </c>
      <c r="K27" s="24" t="s">
        <v>30</v>
      </c>
      <c r="L27" s="24" t="s">
        <v>116</v>
      </c>
      <c r="M27" s="25" t="s">
        <v>22</v>
      </c>
    </row>
    <row r="28" spans="1:13" ht="15.75" customHeight="1" x14ac:dyDescent="0.2">
      <c r="A28" s="20">
        <v>45819.374106805553</v>
      </c>
      <c r="B28" s="21" t="s">
        <v>13</v>
      </c>
      <c r="C28" s="21" t="s">
        <v>117</v>
      </c>
      <c r="D28" s="21" t="s">
        <v>33</v>
      </c>
      <c r="E28" s="21" t="s">
        <v>16</v>
      </c>
      <c r="F28" s="21" t="s">
        <v>39</v>
      </c>
      <c r="G28" s="21" t="s">
        <v>18</v>
      </c>
      <c r="H28" s="21" t="s">
        <v>95</v>
      </c>
      <c r="I28" s="21" t="s">
        <v>20</v>
      </c>
      <c r="J28" s="21" t="s">
        <v>21</v>
      </c>
      <c r="K28" s="21" t="s">
        <v>42</v>
      </c>
      <c r="L28" s="21" t="s">
        <v>118</v>
      </c>
      <c r="M28" s="22" t="s">
        <v>71</v>
      </c>
    </row>
    <row r="29" spans="1:13" ht="15.75" customHeight="1" x14ac:dyDescent="0.2">
      <c r="A29" s="23">
        <v>45819.380137604167</v>
      </c>
      <c r="B29" s="33" t="s">
        <v>119</v>
      </c>
      <c r="C29" s="24" t="s">
        <v>120</v>
      </c>
      <c r="D29" s="24" t="s">
        <v>63</v>
      </c>
      <c r="E29" s="24" t="s">
        <v>16</v>
      </c>
      <c r="F29" s="24" t="s">
        <v>34</v>
      </c>
      <c r="G29" s="24" t="s">
        <v>18</v>
      </c>
      <c r="H29" s="24" t="s">
        <v>121</v>
      </c>
      <c r="I29" s="24" t="s">
        <v>41</v>
      </c>
      <c r="J29" s="24" t="s">
        <v>21</v>
      </c>
      <c r="K29" s="24" t="s">
        <v>22</v>
      </c>
      <c r="L29" s="24" t="s">
        <v>58</v>
      </c>
      <c r="M29" s="25" t="s">
        <v>22</v>
      </c>
    </row>
    <row r="30" spans="1:13" ht="15.75" customHeight="1" x14ac:dyDescent="0.2">
      <c r="A30" s="20">
        <v>45819.380277164353</v>
      </c>
      <c r="B30" s="21" t="s">
        <v>119</v>
      </c>
      <c r="C30" s="21" t="s">
        <v>122</v>
      </c>
      <c r="D30" s="21" t="s">
        <v>63</v>
      </c>
      <c r="E30" s="21" t="s">
        <v>16</v>
      </c>
      <c r="F30" s="21" t="s">
        <v>49</v>
      </c>
      <c r="G30" s="21" t="s">
        <v>18</v>
      </c>
      <c r="H30" s="21" t="s">
        <v>85</v>
      </c>
      <c r="I30" s="21" t="s">
        <v>41</v>
      </c>
      <c r="J30" s="21" t="s">
        <v>29</v>
      </c>
      <c r="K30" s="21" t="s">
        <v>30</v>
      </c>
      <c r="L30" s="21" t="s">
        <v>123</v>
      </c>
      <c r="M30" s="22" t="s">
        <v>44</v>
      </c>
    </row>
    <row r="31" spans="1:13" ht="15.75" customHeight="1" x14ac:dyDescent="0.2">
      <c r="A31" s="26">
        <v>45819.381385138884</v>
      </c>
      <c r="B31" s="27" t="s">
        <v>119</v>
      </c>
      <c r="C31" s="27" t="s">
        <v>124</v>
      </c>
      <c r="D31" s="27" t="s">
        <v>63</v>
      </c>
      <c r="E31" s="27" t="s">
        <v>16</v>
      </c>
      <c r="F31" s="27" t="s">
        <v>34</v>
      </c>
      <c r="G31" s="27" t="s">
        <v>18</v>
      </c>
      <c r="H31" s="27" t="s">
        <v>125</v>
      </c>
      <c r="I31" s="27" t="s">
        <v>41</v>
      </c>
      <c r="J31" s="27" t="s">
        <v>29</v>
      </c>
      <c r="K31" s="27" t="s">
        <v>22</v>
      </c>
      <c r="L31" s="27" t="s">
        <v>126</v>
      </c>
      <c r="M31" s="28" t="s">
        <v>22</v>
      </c>
    </row>
    <row r="32" spans="1:13" ht="15.75" customHeight="1" x14ac:dyDescent="0.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</row>
    <row r="33" spans="1:13" ht="15.75" customHeight="1" x14ac:dyDescent="0.2">
      <c r="A33" s="34"/>
      <c r="B33" s="34" t="str">
        <f>"Estudiante: "&amp;COUNTIF(B2:B31,"Estudiante")&amp;" || "&amp;TEXT(COUNTIF(B2:B31,"Estudiante")/COUNTA(B2:B31),"0%")</f>
        <v>Estudiante: 27 || 90%</v>
      </c>
      <c r="C33" s="34"/>
      <c r="D33" s="34" t="str">
        <f>"Fundamental: "&amp;COUNTIF(D2:D31,"Fundamental")&amp;" || "&amp;TEXT(COUNTIF(D2:D31,"Fundamental")/COUNTA(D2:D31),"0%")</f>
        <v>Fundamental: 8 || 27%</v>
      </c>
      <c r="E33" s="34" t="str">
        <f>"A diario: "&amp;COUNTIF(E2:E31,"A diario")&amp;" || "&amp;TEXT(COUNTIF(E2:E31,"A diario")/COUNTA(E2:E31),"0%")</f>
        <v>A diario: 15 || 50%</v>
      </c>
      <c r="F33" s="35" t="str">
        <f xml:space="preserve"> "Mayor tranquilidad y seguridad: " &amp;COUNTIF(F2:F31,"*Mayor tranquilidad y seguridad*") &amp; " || " &amp; TEXT(COUNTIF(F2:F31,"*Mayor tranquilidad y seguridad*")/COUNTA(F2:F31),"0%")</f>
        <v>Mayor tranquilidad y seguridad: 25 || 83%</v>
      </c>
      <c r="G33" s="34" t="str">
        <f>"Muy útil: "&amp;COUNTIF(G2:G31,"Muy útil")&amp;" || "&amp;TEXT(COUNTIF(G2:G31,"Muy útil")/COUNTA(G2:G31),"0%")</f>
        <v>Muy útil: 14 || 47%</v>
      </c>
      <c r="H33" s="35" t="str">
        <f xml:space="preserve"> "Ver la ubicación del bus en tiempo real: " &amp;COUNTIF(H2:H31,"*Ver la ubicación del bus en tiempo real*") &amp; " || " &amp; TEXT(COUNTIF(H2:H31,"*Ver la ubicación del bus en tiempo real*")/COUNTA(H2:H31),"0%")</f>
        <v>Ver la ubicación del bus en tiempo real: 25 || 83%</v>
      </c>
      <c r="I33" s="34" t="str">
        <f>"Aplicación móvil: "&amp;COUNTIF(I2:I31,"Aplicación móvil")&amp;" || "&amp;TEXT(COUNTIF(I2:I31,"Aplicación móvil")/COUNTA(I2:I31),"0%")</f>
        <v>Aplicación móvil: 17 || 57%</v>
      </c>
      <c r="J33" s="34" t="str">
        <f>"Poco confiable: "&amp;COUNTIF(J2:J31,"Poco confiable")&amp;" || "&amp;TEXT(COUNTIF(J2:J31,"Poco confiable")/COUNTA(J2:J31),"0%")</f>
        <v>Poco confiable: 2 || 7%</v>
      </c>
      <c r="K33" s="34" t="str">
        <f>"Sí: "&amp;COUNTIF(K2:K31,"Sí")&amp;" || "&amp;TEXT(COUNTIF(K2:K31,"Sí")/COUNTA(K2:K31),"0%")</f>
        <v>Sí: 8 || 27%</v>
      </c>
      <c r="L33" s="34"/>
      <c r="M33" s="34" t="str">
        <f>"Sí: "&amp;COUNTIF(M2:M31,"Sí")&amp;" || "&amp;TEXT(COUNTIF(M2:M31,"Sí")/COUNTA(M2:M31),"0%")</f>
        <v>Sí: 16 || 53%</v>
      </c>
    </row>
    <row r="34" spans="1:13" ht="15.75" customHeight="1" x14ac:dyDescent="0.2">
      <c r="A34" s="34"/>
      <c r="B34" s="34" t="str">
        <f>"Padre / Madre / Acudiente: "&amp;COUNTIF(B2:B31,"*Padre*")&amp;" || "&amp;TEXT(COUNTIF(B2:B31,"*Padre*")/COUNTA(B2:B31),"0%")</f>
        <v>Padre / Madre / Acudiente: 3 || 10%</v>
      </c>
      <c r="C34" s="34"/>
      <c r="D34" s="34" t="str">
        <f>"Muy importante: "&amp;COUNTIF(D2:D31,"Muy importante")&amp;" || "&amp;TEXT(COUNTIF(D2:D31,"Muy importante")/COUNTA(D2:D31),"0%")</f>
        <v>Muy importante: 8 || 27%</v>
      </c>
      <c r="E34" s="34" t="str">
        <f>"Solo cuando el bus se retrase: "&amp;COUNTIF(E2:E31,"Solo cuando el bus se retrase")&amp;" || "&amp;TEXT(COUNTIF(E2:E31,"Solo cuando el bus se retrase")/COUNTA(E2:E31),"0%")</f>
        <v>Solo cuando el bus se retrase: 13 || 43%</v>
      </c>
      <c r="F34" s="34" t="str">
        <f xml:space="preserve"> "Mejor organización de tiempos al saber el momento exacto de llegada: " &amp;COUNTIF(F2:F31,"*Mejor organización de tiempos al saber el momento exacto de llegada*") &amp; " || " &amp; TEXT(COUNTIF(F2:F31,"*Mejor organización de tiempos al saber el momento exacto de llegada*")/COUNTA(F2:F31),"0%")</f>
        <v>Mejor organización de tiempos al saber el momento exacto de llegada: 16 || 53%</v>
      </c>
      <c r="G34" s="34" t="str">
        <f>"Útil: "&amp;COUNTIF(G2:G31,"Útil")&amp;" || "&amp;TEXT(COUNTIF(G2:G31,"Útil")/COUNTA(G2:G31),"0%")</f>
        <v>Útil: 12 || 40%</v>
      </c>
      <c r="H34" s="34" t="str">
        <f xml:space="preserve"> "Saber si el bus está retrasado: " &amp;COUNTIF(H2:H31,"*Saber si el bus está retrasado*") &amp; " || " &amp; TEXT(COUNTIF(H2:H31,"*Saber si el bus está retrasado*")/COUNTA(H2:H31),"0%")</f>
        <v>Saber si el bus está retrasado: 15 || 50%</v>
      </c>
      <c r="I34" s="34" t="str">
        <f>"Página web: "&amp;COUNTIF(I2:I31,"Página web")&amp;" || "&amp;TEXT(COUNTIF(I2:I31,"Página web")/COUNTA(I2:I31),"0%")</f>
        <v>Página web: 2 || 7%</v>
      </c>
      <c r="J34" s="34" t="str">
        <f>"Medianamente confiable: "&amp;COUNTIF(J2:J31,"Medianamente confiable")&amp;" || "&amp;TEXT(COUNTIF(J2:J31,"Medianamente confiable")/COUNTA(J2:J31),"0%")</f>
        <v>Medianamente confiable: 4 || 13%</v>
      </c>
      <c r="K34" s="34" t="str">
        <f>"Algunas veces: "&amp;COUNTIF(K2:K31,"Algunas veces")&amp;" || "&amp;TEXT(COUNTIF(K2:K31,"Algunas veces")/COUNTA(K2:K31),"0%")</f>
        <v>Algunas veces: 11 || 37%</v>
      </c>
      <c r="L34" s="34"/>
      <c r="M34" s="34" t="str">
        <f>"No: "&amp;COUNTIF(M2:M31,"No")&amp;" || "&amp;TEXT(COUNTIF(M2:M31,"No")/COUNTA(M2:M31),"0%")</f>
        <v>No: 4 || 13%</v>
      </c>
    </row>
    <row r="35" spans="1:13" ht="15.75" customHeight="1" x14ac:dyDescent="0.2">
      <c r="A35" s="34"/>
      <c r="B35" s="34"/>
      <c r="C35" s="34"/>
      <c r="D35" s="34" t="str">
        <f>"Moderadamente importante: "&amp;COUNTIF(D2:D31,"Moderadamente importante")&amp;" || "&amp;TEXT(COUNTIF(D2:D31,"Moderadamente importante")/COUNTA(D2:D31),"0%")</f>
        <v>Moderadamente importante: 11 || 37%</v>
      </c>
      <c r="E35" s="34" t="str">
        <f>"Rara vez: "&amp;COUNTIF(E2:E31,"Rara vez")&amp;" || "&amp;TEXT(COUNTIF(E2:E31,"Rara vez")/COUNTA(E2:E31),"0%")</f>
        <v>Rara vez: 2 || 7%</v>
      </c>
      <c r="F35" s="34" t="str">
        <f xml:space="preserve"> "Reducción de preocupación por retrasos o imprevistos: " &amp;COUNTIF(F2:F31,"*Reducción de preocupación por retrasos o imprevistos*") &amp; " || " &amp; TEXT(COUNTIF(F2:F31,"*Reducción de preocupación por retrasos o imprevistos*")/COUNTA(F2:F31),"0%")</f>
        <v>Reducción de preocupación por retrasos o imprevistos: 15 || 50%</v>
      </c>
      <c r="G35" s="34" t="str">
        <f>"Poco útil: "&amp;COUNTIF(G2:G31,"Poco útil")&amp;" || "&amp;TEXT(COUNTIF(G2:G31,"Poco útil")/COUNTA(G2:G31),"0%")</f>
        <v>Poco útil: 3 || 10%</v>
      </c>
      <c r="H35" s="34" t="str">
        <f xml:space="preserve"> "Comunicación directa con el conductor o acudiente: " &amp;COUNTIF(H2:H31,"*Comunicación directa con el conductor o acudiente*") &amp; " || " &amp; TEXT(COUNTIF(H2:H31,"*Comunicación directa con el conductor o acudiente*")/COUNTA(H2:H31),"0%")</f>
        <v>Comunicación directa con el conductor o acudiente: 14 || 47%</v>
      </c>
      <c r="I35" s="34" t="str">
        <f>"Ambas: "&amp;COUNTIF(I2:I31,"Ambas")&amp;" || "&amp;TEXT(COUNTIF(I2:I31,"Ambas")/COUNTA(I2:I31),"0%")</f>
        <v>Ambas: 11 || 37%</v>
      </c>
      <c r="J35" s="34" t="str">
        <f>"Confiable: "&amp;COUNTIF(J2:J31,"Confiable")&amp;" || "&amp;TEXT(COUNTIF(J2:J31,"Confiable")/COUNTA(J2:J31),"0%")</f>
        <v>Confiable: 6 || 20%</v>
      </c>
      <c r="K35" s="34" t="str">
        <f>"Rara vez: "&amp;COUNTIF(K2:K31,"Rara vez")&amp;" || "&amp;TEXT(COUNTIF(K2:K31,"Rara vez")/COUNTA(K2:K31),"0%")</f>
        <v>Rara vez: 4 || 13%</v>
      </c>
      <c r="L35" s="34"/>
      <c r="M35" s="34" t="str">
        <f>"Tal vez: "&amp;COUNTIF(M2:M31,"Tal vez")&amp;" || "&amp;TEXT(COUNTIF(M2:M31,"Tal vez")/COUNTA(M2:M31),"0%")</f>
        <v>Tal vez: 10 || 33%</v>
      </c>
    </row>
    <row r="36" spans="1:13" ht="15.75" customHeight="1" x14ac:dyDescent="0.2">
      <c r="A36" s="34"/>
      <c r="B36" s="34"/>
      <c r="C36" s="34"/>
      <c r="D36" s="34" t="str">
        <f>"Poco importante: "&amp;COUNTIF(D2:D31,"Poco importante")&amp;" || "&amp;TEXT(COUNTIF(D2:D31,"Poco importante")/COUNTA(D2:D31),"0%")</f>
        <v>Poco importante: 2 || 7%</v>
      </c>
      <c r="E36" s="34" t="str">
        <f>"No me interesa: "&amp;COUNTIF(E2:E31,"No me interesa")&amp;" || "&amp;TEXT(COUNTIF(E2:E31,"No me interesa")/COUNTA(E2:E31),"0%")</f>
        <v>No me interesa: 0 || 0%</v>
      </c>
      <c r="F36" s="34"/>
      <c r="G36" s="34" t="str">
        <f>"Innecesaria: "&amp;COUNTIF(G2:G31,"Innecesaria")&amp;" || "&amp;TEXT(COUNTIF(G2:G31,"Innecesaria")/COUNTA(G2:G31),"0%")</f>
        <v>Innecesaria: 1 || 3%</v>
      </c>
      <c r="H36" s="34" t="str">
        <f xml:space="preserve"> "Historial de recorridos: " &amp;COUNTIF(H2:H31,"*Historial de recorridos*") &amp; " || " &amp; TEXT(COUNTIF(H2:H31,"*Historial de recorridos*")/COUNTA(H2:H31),"0%")</f>
        <v>Historial de recorridos: 20 || 67%</v>
      </c>
      <c r="I36" s="34" t="str">
        <f>"No me interesa usarla: "&amp;COUNTIF(I2:I31,"No me interesa usarla")&amp;" || "&amp;TEXT(COUNTIF(I2:I31,"No me interesa usarla")/COUNTA(I2:I31),"0%")</f>
        <v>No me interesa usarla: 0 || 0%</v>
      </c>
      <c r="J36" s="34" t="str">
        <f>"Muy confiable: "&amp;COUNTIF(J2:J31,"Muy confiable")&amp;" || "&amp;TEXT(COUNTIF(J2:J31,"Muy confiable")/COUNTA(J2:J31),"0%")</f>
        <v>Muy confiable: 7 || 23%</v>
      </c>
      <c r="K36" s="34" t="str">
        <f>"Nunca: "&amp;COUNTIF(K2:K31,"Nunca")&amp;" || "&amp;TEXT(COUNTIF(K2:K31,"Nunca")/COUNTA(K2:K31),"0%")</f>
        <v>Nunca: 7 || 23%</v>
      </c>
      <c r="L36" s="34"/>
      <c r="M36" s="34"/>
    </row>
    <row r="37" spans="1:13" ht="15.75" customHeight="1" x14ac:dyDescent="0.2">
      <c r="A37" s="34"/>
      <c r="B37" s="34"/>
      <c r="C37" s="34"/>
      <c r="D37" s="34" t="str">
        <f>"Nada importante: "&amp;COUNTIF(D2:D31,"Nada importante")&amp;" || "&amp;TEXT(COUNTIF(D2:D31,"Nada importante")/COUNTA(D2:D31),"0%")</f>
        <v>Nada importante: 1 || 3%</v>
      </c>
      <c r="E37" s="34"/>
      <c r="F37" s="34"/>
      <c r="G37" s="34"/>
      <c r="H37" s="34" t="str">
        <f xml:space="preserve"> "Registro de rutas pasadas: " &amp;COUNTIF(H2:H31,"*Registro de rutas pasadas*") &amp; " || " &amp; TEXT(COUNTIF(H2:H31,"*Registro de rutas pasadas*")/COUNTA(H2:H31),"0%")</f>
        <v>Registro de rutas pasadas: 10 || 33%</v>
      </c>
      <c r="I37" s="34"/>
      <c r="J37" s="34" t="str">
        <f>"Esencial que sea extremadamente segura: "&amp;COUNTIF(J2:J31,"Esencial que sea extremadamente segura")&amp;" || "&amp;TEXT(COUNTIF(J2:J31,"Esencial que sea extremadamente segura")/COUNTA(J2:J31),"0%")</f>
        <v>Esencial que sea extremadamente segura: 11 || 37%</v>
      </c>
      <c r="K37" s="34"/>
      <c r="L37" s="34"/>
      <c r="M37" s="34"/>
    </row>
    <row r="38" spans="1:13" ht="15.75" customHeight="1" x14ac:dyDescent="0.2">
      <c r="A38" s="34"/>
      <c r="B38" s="34"/>
      <c r="C38" s="34"/>
      <c r="D38" s="34"/>
      <c r="E38" s="34"/>
      <c r="F38" s="34"/>
      <c r="G38" s="34"/>
      <c r="H38" s="34" t="str">
        <f xml:space="preserve"> "Integración con el calendario escolar: " &amp;COUNTIF(H2:H31,"*Integración con el calendario escolar*") &amp; " || " &amp; TEXT(COUNTIF(H2:H31,"*Integración con el calendario escolar*")/COUNTA(H2:H31),"0%")</f>
        <v>Integración con el calendario escolar: 7 || 23%</v>
      </c>
      <c r="I38" s="34"/>
      <c r="J38" s="34"/>
      <c r="K38" s="34"/>
      <c r="L38" s="34"/>
      <c r="M38" s="34"/>
    </row>
    <row r="39" spans="1:13" ht="15.75" customHeight="1" x14ac:dyDescent="0.2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</row>
    <row r="40" spans="1:13" ht="15.75" customHeight="1" x14ac:dyDescent="0.2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1:13" ht="15.75" customHeight="1" x14ac:dyDescent="0.2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</row>
    <row r="42" spans="1:13" ht="15.75" customHeight="1" x14ac:dyDescent="0.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</row>
    <row r="43" spans="1:13" ht="15.75" customHeight="1" x14ac:dyDescent="0.2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</row>
    <row r="44" spans="1:13" ht="15.75" customHeight="1" x14ac:dyDescent="0.2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</row>
    <row r="45" spans="1:13" ht="15.75" customHeight="1" x14ac:dyDescent="0.2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275B-C1E8-471A-AD4C-05EE969C2E10}">
  <dimension ref="A3:B5"/>
  <sheetViews>
    <sheetView workbookViewId="0"/>
  </sheetViews>
  <sheetFormatPr baseColWidth="10" defaultRowHeight="12.75" x14ac:dyDescent="0.2"/>
  <cols>
    <col min="1" max="1" width="22.7109375" bestFit="1" customWidth="1"/>
    <col min="2" max="2" width="26" bestFit="1" customWidth="1"/>
  </cols>
  <sheetData>
    <row r="3" spans="1:2" x14ac:dyDescent="0.2">
      <c r="A3" s="2" t="s">
        <v>1</v>
      </c>
      <c r="B3" s="3" t="s">
        <v>127</v>
      </c>
    </row>
    <row r="4" spans="1:2" x14ac:dyDescent="0.2">
      <c r="A4" s="1" t="s">
        <v>13</v>
      </c>
      <c r="B4" s="3">
        <v>27</v>
      </c>
    </row>
    <row r="5" spans="1:2" x14ac:dyDescent="0.2">
      <c r="A5" s="4" t="s">
        <v>119</v>
      </c>
      <c r="B5" s="5">
        <v>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F4B04-0775-4A2F-B037-4D6461CC1B0A}">
  <dimension ref="A3:B8"/>
  <sheetViews>
    <sheetView topLeftCell="A7" workbookViewId="0">
      <selection activeCell="E6" sqref="E6"/>
    </sheetView>
  </sheetViews>
  <sheetFormatPr baseColWidth="10" defaultRowHeight="12.75" x14ac:dyDescent="0.2"/>
  <cols>
    <col min="1" max="1" width="65.5703125" customWidth="1"/>
    <col min="2" max="2" width="53.140625" customWidth="1"/>
  </cols>
  <sheetData>
    <row r="3" spans="1:2" x14ac:dyDescent="0.2">
      <c r="A3" s="2" t="s">
        <v>3</v>
      </c>
      <c r="B3" s="3" t="s">
        <v>128</v>
      </c>
    </row>
    <row r="4" spans="1:2" x14ac:dyDescent="0.2">
      <c r="A4" s="1" t="s">
        <v>63</v>
      </c>
      <c r="B4" s="3">
        <v>8</v>
      </c>
    </row>
    <row r="5" spans="1:2" x14ac:dyDescent="0.2">
      <c r="A5" s="6" t="s">
        <v>15</v>
      </c>
      <c r="B5" s="7">
        <v>11</v>
      </c>
    </row>
    <row r="6" spans="1:2" x14ac:dyDescent="0.2">
      <c r="A6" s="6" t="s">
        <v>33</v>
      </c>
      <c r="B6" s="7">
        <v>8</v>
      </c>
    </row>
    <row r="7" spans="1:2" x14ac:dyDescent="0.2">
      <c r="A7" s="6" t="s">
        <v>82</v>
      </c>
      <c r="B7" s="7">
        <v>1</v>
      </c>
    </row>
    <row r="8" spans="1:2" x14ac:dyDescent="0.2">
      <c r="A8" s="4" t="s">
        <v>55</v>
      </c>
      <c r="B8" s="5">
        <v>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B3D6-DA19-43A0-BFAC-5FB11559B65F}">
  <dimension ref="A3:B6"/>
  <sheetViews>
    <sheetView workbookViewId="0"/>
  </sheetViews>
  <sheetFormatPr baseColWidth="10" defaultRowHeight="12.75" x14ac:dyDescent="0.2"/>
  <cols>
    <col min="1" max="1" width="106.5703125" customWidth="1"/>
    <col min="2" max="2" width="119.28515625" customWidth="1"/>
  </cols>
  <sheetData>
    <row r="3" spans="1:2" x14ac:dyDescent="0.2">
      <c r="A3" s="2" t="s">
        <v>4</v>
      </c>
      <c r="B3" s="8" t="s">
        <v>129</v>
      </c>
    </row>
    <row r="4" spans="1:2" x14ac:dyDescent="0.2">
      <c r="A4" s="1" t="s">
        <v>16</v>
      </c>
      <c r="B4" s="3">
        <v>15</v>
      </c>
    </row>
    <row r="5" spans="1:2" x14ac:dyDescent="0.2">
      <c r="A5" s="6" t="s">
        <v>36</v>
      </c>
      <c r="B5" s="7">
        <v>2</v>
      </c>
    </row>
    <row r="6" spans="1:2" x14ac:dyDescent="0.2">
      <c r="A6" s="4" t="s">
        <v>26</v>
      </c>
      <c r="B6" s="5">
        <v>13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8C75-E492-4116-9706-DD761E174C5C}">
  <dimension ref="A3:B6"/>
  <sheetViews>
    <sheetView workbookViewId="0"/>
  </sheetViews>
  <sheetFormatPr baseColWidth="10" defaultRowHeight="12.75" x14ac:dyDescent="0.2"/>
  <cols>
    <col min="1" max="1" width="105" customWidth="1"/>
    <col min="2" max="2" width="111.85546875" customWidth="1"/>
  </cols>
  <sheetData>
    <row r="3" spans="1:2" x14ac:dyDescent="0.2">
      <c r="A3" s="14" t="s">
        <v>135</v>
      </c>
      <c r="B3" s="14" t="s">
        <v>138</v>
      </c>
    </row>
    <row r="4" spans="1:2" x14ac:dyDescent="0.2">
      <c r="A4" s="15" t="s">
        <v>17</v>
      </c>
      <c r="B4" s="12">
        <v>25</v>
      </c>
    </row>
    <row r="5" spans="1:2" x14ac:dyDescent="0.2">
      <c r="A5" s="15" t="s">
        <v>136</v>
      </c>
      <c r="B5" s="12">
        <v>16</v>
      </c>
    </row>
    <row r="6" spans="1:2" x14ac:dyDescent="0.2">
      <c r="A6" s="16" t="s">
        <v>137</v>
      </c>
      <c r="B6" s="13">
        <v>15</v>
      </c>
    </row>
  </sheetData>
  <autoFilter ref="A3:B3" xr:uid="{48848C75-E492-4116-9706-DD761E174C5C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486B6-1993-4F2F-88EA-A691933C4089}">
  <dimension ref="A3:B7"/>
  <sheetViews>
    <sheetView workbookViewId="0"/>
  </sheetViews>
  <sheetFormatPr baseColWidth="10" defaultRowHeight="12.75" x14ac:dyDescent="0.2"/>
  <cols>
    <col min="1" max="1" width="96" bestFit="1" customWidth="1"/>
    <col min="2" max="2" width="102.7109375" bestFit="1" customWidth="1"/>
  </cols>
  <sheetData>
    <row r="3" spans="1:2" x14ac:dyDescent="0.2">
      <c r="A3" s="2" t="s">
        <v>6</v>
      </c>
      <c r="B3" s="3" t="s">
        <v>130</v>
      </c>
    </row>
    <row r="4" spans="1:2" x14ac:dyDescent="0.2">
      <c r="A4" s="1" t="s">
        <v>88</v>
      </c>
      <c r="B4" s="9">
        <v>1</v>
      </c>
    </row>
    <row r="5" spans="1:2" x14ac:dyDescent="0.2">
      <c r="A5" s="6" t="s">
        <v>18</v>
      </c>
      <c r="B5" s="10">
        <v>14</v>
      </c>
    </row>
    <row r="6" spans="1:2" x14ac:dyDescent="0.2">
      <c r="A6" s="6" t="s">
        <v>50</v>
      </c>
      <c r="B6" s="10">
        <v>3</v>
      </c>
    </row>
    <row r="7" spans="1:2" x14ac:dyDescent="0.2">
      <c r="A7" s="4" t="s">
        <v>27</v>
      </c>
      <c r="B7" s="11">
        <v>12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EFC6-3540-4CAA-937A-8E41CCE5EB8A}">
  <dimension ref="A3:B9"/>
  <sheetViews>
    <sheetView workbookViewId="0"/>
  </sheetViews>
  <sheetFormatPr baseColWidth="10" defaultRowHeight="12.75" x14ac:dyDescent="0.2"/>
  <cols>
    <col min="1" max="1" width="90.28515625" customWidth="1"/>
    <col min="2" max="2" width="96.5703125" customWidth="1"/>
  </cols>
  <sheetData>
    <row r="3" spans="1:2" x14ac:dyDescent="0.2">
      <c r="A3" s="18" t="s">
        <v>139</v>
      </c>
      <c r="B3" s="14" t="s">
        <v>140</v>
      </c>
    </row>
    <row r="4" spans="1:2" x14ac:dyDescent="0.2">
      <c r="A4" s="17" t="s">
        <v>141</v>
      </c>
      <c r="B4" s="12">
        <v>25</v>
      </c>
    </row>
    <row r="5" spans="1:2" x14ac:dyDescent="0.2">
      <c r="A5" s="17" t="s">
        <v>142</v>
      </c>
      <c r="B5" s="12">
        <v>15</v>
      </c>
    </row>
    <row r="6" spans="1:2" x14ac:dyDescent="0.2">
      <c r="A6" s="17" t="s">
        <v>143</v>
      </c>
      <c r="B6" s="12">
        <v>14</v>
      </c>
    </row>
    <row r="7" spans="1:2" x14ac:dyDescent="0.2">
      <c r="A7" s="17" t="s">
        <v>51</v>
      </c>
      <c r="B7" s="12">
        <v>20</v>
      </c>
    </row>
    <row r="8" spans="1:2" x14ac:dyDescent="0.2">
      <c r="A8" s="17" t="s">
        <v>144</v>
      </c>
      <c r="B8" s="12">
        <v>10</v>
      </c>
    </row>
    <row r="9" spans="1:2" x14ac:dyDescent="0.2">
      <c r="A9" s="19" t="s">
        <v>145</v>
      </c>
      <c r="B9" s="13">
        <v>7</v>
      </c>
    </row>
  </sheetData>
  <autoFilter ref="A3:B9" xr:uid="{F2E3EFC6-3540-4CAA-937A-8E41CCE5EB8A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F627-94C0-4178-8991-B5DC1B78B9B2}">
  <dimension ref="A3:B6"/>
  <sheetViews>
    <sheetView workbookViewId="0"/>
  </sheetViews>
  <sheetFormatPr baseColWidth="10" defaultRowHeight="12.75" x14ac:dyDescent="0.2"/>
  <cols>
    <col min="1" max="1" width="41.28515625" bestFit="1" customWidth="1"/>
    <col min="2" max="2" width="48.140625" bestFit="1" customWidth="1"/>
  </cols>
  <sheetData>
    <row r="3" spans="1:2" x14ac:dyDescent="0.2">
      <c r="A3" s="2" t="s">
        <v>8</v>
      </c>
      <c r="B3" s="3" t="s">
        <v>131</v>
      </c>
    </row>
    <row r="4" spans="1:2" x14ac:dyDescent="0.2">
      <c r="A4" s="1" t="s">
        <v>41</v>
      </c>
      <c r="B4" s="9">
        <v>11</v>
      </c>
    </row>
    <row r="5" spans="1:2" x14ac:dyDescent="0.2">
      <c r="A5" s="6" t="s">
        <v>20</v>
      </c>
      <c r="B5" s="10">
        <v>17</v>
      </c>
    </row>
    <row r="6" spans="1:2" x14ac:dyDescent="0.2">
      <c r="A6" s="4" t="s">
        <v>68</v>
      </c>
      <c r="B6" s="11">
        <v>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33CA-53DE-4961-A2CE-75B244ED38B5}">
  <dimension ref="A3:B8"/>
  <sheetViews>
    <sheetView workbookViewId="0"/>
  </sheetViews>
  <sheetFormatPr baseColWidth="10" defaultRowHeight="12.75" x14ac:dyDescent="0.2"/>
  <cols>
    <col min="1" max="1" width="100.28515625" bestFit="1" customWidth="1"/>
    <col min="2" max="2" width="107.140625" bestFit="1" customWidth="1"/>
  </cols>
  <sheetData>
    <row r="3" spans="1:2" x14ac:dyDescent="0.2">
      <c r="A3" s="2" t="s">
        <v>9</v>
      </c>
      <c r="B3" s="3" t="s">
        <v>132</v>
      </c>
    </row>
    <row r="4" spans="1:2" x14ac:dyDescent="0.2">
      <c r="A4" s="1" t="s">
        <v>46</v>
      </c>
      <c r="B4" s="9">
        <v>6</v>
      </c>
    </row>
    <row r="5" spans="1:2" x14ac:dyDescent="0.2">
      <c r="A5" s="6" t="s">
        <v>21</v>
      </c>
      <c r="B5" s="10">
        <v>11</v>
      </c>
    </row>
    <row r="6" spans="1:2" x14ac:dyDescent="0.2">
      <c r="A6" s="6" t="s">
        <v>52</v>
      </c>
      <c r="B6" s="10">
        <v>4</v>
      </c>
    </row>
    <row r="7" spans="1:2" x14ac:dyDescent="0.2">
      <c r="A7" s="6" t="s">
        <v>29</v>
      </c>
      <c r="B7" s="10">
        <v>7</v>
      </c>
    </row>
    <row r="8" spans="1:2" x14ac:dyDescent="0.2">
      <c r="A8" s="4" t="s">
        <v>69</v>
      </c>
      <c r="B8" s="11">
        <v>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0F73-9780-4285-8020-F804E1EE162D}">
  <dimension ref="A3:B7"/>
  <sheetViews>
    <sheetView workbookViewId="0"/>
  </sheetViews>
  <sheetFormatPr baseColWidth="10" defaultRowHeight="12.75" x14ac:dyDescent="0.2"/>
  <cols>
    <col min="1" max="1" width="79.7109375" bestFit="1" customWidth="1"/>
    <col min="2" max="2" width="86.42578125" bestFit="1" customWidth="1"/>
  </cols>
  <sheetData>
    <row r="3" spans="1:2" x14ac:dyDescent="0.2">
      <c r="A3" s="2" t="s">
        <v>10</v>
      </c>
      <c r="B3" s="3" t="s">
        <v>133</v>
      </c>
    </row>
    <row r="4" spans="1:2" x14ac:dyDescent="0.2">
      <c r="A4" s="1" t="s">
        <v>30</v>
      </c>
      <c r="B4" s="9">
        <v>11</v>
      </c>
    </row>
    <row r="5" spans="1:2" x14ac:dyDescent="0.2">
      <c r="A5" s="6" t="s">
        <v>42</v>
      </c>
      <c r="B5" s="10">
        <v>7</v>
      </c>
    </row>
    <row r="6" spans="1:2" x14ac:dyDescent="0.2">
      <c r="A6" s="6" t="s">
        <v>36</v>
      </c>
      <c r="B6" s="10">
        <v>4</v>
      </c>
    </row>
    <row r="7" spans="1:2" x14ac:dyDescent="0.2">
      <c r="A7" s="4" t="s">
        <v>22</v>
      </c>
      <c r="B7" s="11">
        <v>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5489-C29F-4FAB-94F0-59615E38C7FA}">
  <dimension ref="A3:B6"/>
  <sheetViews>
    <sheetView workbookViewId="0"/>
  </sheetViews>
  <sheetFormatPr baseColWidth="10" defaultRowHeight="12.75" x14ac:dyDescent="0.2"/>
  <cols>
    <col min="1" max="1" width="51.85546875" bestFit="1" customWidth="1"/>
    <col min="2" max="2" width="58.7109375" bestFit="1" customWidth="1"/>
  </cols>
  <sheetData>
    <row r="3" spans="1:2" x14ac:dyDescent="0.2">
      <c r="A3" s="2" t="s">
        <v>12</v>
      </c>
      <c r="B3" s="3" t="s">
        <v>134</v>
      </c>
    </row>
    <row r="4" spans="1:2" x14ac:dyDescent="0.2">
      <c r="A4" s="1" t="s">
        <v>71</v>
      </c>
      <c r="B4" s="9">
        <v>4</v>
      </c>
    </row>
    <row r="5" spans="1:2" x14ac:dyDescent="0.2">
      <c r="A5" s="6" t="s">
        <v>24</v>
      </c>
      <c r="B5" s="10">
        <v>16</v>
      </c>
    </row>
    <row r="6" spans="1:2" x14ac:dyDescent="0.2">
      <c r="A6" s="4" t="s">
        <v>44</v>
      </c>
      <c r="B6" s="11">
        <v>10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Resultados Guardian Escolar</vt:lpstr>
      <vt:lpstr>Tipo de encuestado</vt:lpstr>
      <vt:lpstr>¿Qué tan importante considera l</vt:lpstr>
      <vt:lpstr>Si usted como padre pudiera ver</vt:lpstr>
      <vt:lpstr>¿Cuáles beneficios cree que apo</vt:lpstr>
      <vt:lpstr>Suponga que la plataforma le no</vt:lpstr>
      <vt:lpstr>¿Qué funciones te parecen útile</vt:lpstr>
      <vt:lpstr>¿Desde dónde preferirías usar l</vt:lpstr>
      <vt:lpstr>¿Qué tan confiable y segura con</vt:lpstr>
      <vt:lpstr>¿Usas frecuentemente o utilizas</vt:lpstr>
      <vt:lpstr>¿Te gustaría ser parte de una 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 Santamaria</cp:lastModifiedBy>
  <dcterms:modified xsi:type="dcterms:W3CDTF">2025-10-20T13:00:27Z</dcterms:modified>
</cp:coreProperties>
</file>